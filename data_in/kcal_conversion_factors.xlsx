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worldbankgroup-my.sharepoint.com/personal/stakamatsu_worldbank_org/Documents/SAE/Price/Poland analysis/pl-hbs/data_in/"/>
    </mc:Choice>
  </mc:AlternateContent>
  <xr:revisionPtr revIDLastSave="105" documentId="13_ncr:1_{C70CD1F4-96CA-4AC2-B25C-11A34A0CA720}" xr6:coauthVersionLast="47" xr6:coauthVersionMax="47" xr10:uidLastSave="{E4CEAA7C-8AE4-44C0-9696-AEF8851FA13D}"/>
  <bookViews>
    <workbookView xWindow="-110" yWindow="-110" windowWidth="19420" windowHeight="10300" xr2:uid="{00000000-000D-0000-FFFF-FFFF00000000}"/>
  </bookViews>
  <sheets>
    <sheet name="Final" sheetId="3" r:id="rId1"/>
    <sheet name="Updated with Romania example" sheetId="2" r:id="rId2"/>
    <sheet name="Sheet1"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1" i="3" l="1"/>
  <c r="E59" i="3"/>
  <c r="E54" i="3"/>
  <c r="E41" i="3"/>
  <c r="E40" i="3"/>
  <c r="E34" i="3"/>
  <c r="D67" i="2"/>
  <c r="D63" i="2"/>
  <c r="D62" i="2"/>
  <c r="D61" i="2"/>
  <c r="D60" i="2"/>
  <c r="E59" i="2"/>
  <c r="D54" i="2"/>
  <c r="E54" i="2"/>
  <c r="D52" i="2"/>
  <c r="D50" i="2"/>
  <c r="D47" i="2"/>
  <c r="E41" i="2"/>
  <c r="E40" i="2"/>
  <c r="E34" i="2"/>
  <c r="D34" i="2"/>
  <c r="E71" i="2"/>
  <c r="D71" i="2"/>
  <c r="D79" i="2"/>
  <c r="D80" i="2"/>
  <c r="D81" i="2"/>
  <c r="D82" i="2"/>
  <c r="D83" i="2"/>
  <c r="D87" i="2"/>
  <c r="D88" i="2"/>
  <c r="D89" i="2"/>
  <c r="D90" i="2"/>
</calcChain>
</file>

<file path=xl/sharedStrings.xml><?xml version="1.0" encoding="utf-8"?>
<sst xmlns="http://schemas.openxmlformats.org/spreadsheetml/2006/main" count="619" uniqueCount="174">
  <si>
    <t>code</t>
  </si>
  <si>
    <t>description</t>
  </si>
  <si>
    <t>Apples</t>
  </si>
  <si>
    <t>Tea</t>
  </si>
  <si>
    <t>Sugar</t>
  </si>
  <si>
    <t>Olive oil</t>
  </si>
  <si>
    <t>Yogurt</t>
  </si>
  <si>
    <t>Other bakery products</t>
  </si>
  <si>
    <t>Salt</t>
  </si>
  <si>
    <t>Bananas</t>
  </si>
  <si>
    <t>Butter</t>
  </si>
  <si>
    <t>Beef</t>
  </si>
  <si>
    <t>Cauliflower</t>
  </si>
  <si>
    <t>Potatoes</t>
  </si>
  <si>
    <t>Breakfast cereals</t>
  </si>
  <si>
    <t>Frozen seafood</t>
  </si>
  <si>
    <t>Rice</t>
  </si>
  <si>
    <t>Potato products</t>
  </si>
  <si>
    <t>Tomatoes</t>
  </si>
  <si>
    <t>Artificial sugar substitutes</t>
  </si>
  <si>
    <t>Frozen fish</t>
  </si>
  <si>
    <t>Coffee</t>
  </si>
  <si>
    <t>Cabbage</t>
  </si>
  <si>
    <t>Eggs</t>
  </si>
  <si>
    <t>Bread</t>
  </si>
  <si>
    <t>Vegetable and fruit-vegetable juices</t>
  </si>
  <si>
    <t>Frozen fruit</t>
  </si>
  <si>
    <t>Other fruits</t>
  </si>
  <si>
    <t>Other tuber vegetables and tuber vegetable products</t>
  </si>
  <si>
    <t>Pasta and pasta products</t>
  </si>
  <si>
    <t>Mineral or spring waters</t>
  </si>
  <si>
    <t>Frozen vegetables and mushrooms</t>
  </si>
  <si>
    <t>Other meat products</t>
  </si>
  <si>
    <t>Ice-cream</t>
  </si>
  <si>
    <t>Other alcoholic beers</t>
  </si>
  <si>
    <t>Fresh or chilled seafood</t>
  </si>
  <si>
    <t>Low-alcohol and non-alcoholic beer</t>
  </si>
  <si>
    <t>Other meats</t>
  </si>
  <si>
    <t>Fresh or chilled fish</t>
  </si>
  <si>
    <t>Fish and seafood, dried, smoked or salted</t>
  </si>
  <si>
    <t>Other vegetables and mushrooms</t>
  </si>
  <si>
    <t>Other vegetable and mushroom products</t>
  </si>
  <si>
    <t>Lamb and goat meat</t>
  </si>
  <si>
    <t>Other edible oils</t>
  </si>
  <si>
    <t>Citrus fruits</t>
  </si>
  <si>
    <t>Poultry cold cuts</t>
  </si>
  <si>
    <t>Pork meat</t>
  </si>
  <si>
    <t>Fruit juices</t>
  </si>
  <si>
    <t>Jams, marmalades</t>
  </si>
  <si>
    <t>Wheat flour</t>
  </si>
  <si>
    <t>Other animal fats</t>
  </si>
  <si>
    <t>Condensed milk and powder</t>
  </si>
  <si>
    <t>Other poultry</t>
  </si>
  <si>
    <t>Non-alcoholic beverages, not elsewhere classified</t>
  </si>
  <si>
    <t>Other flours</t>
  </si>
  <si>
    <t>Cocoa and chocolate powder</t>
  </si>
  <si>
    <t>Dried fruits and nuts</t>
  </si>
  <si>
    <t>Margarine and other vegetable fats</t>
  </si>
  <si>
    <t>Spirits, liqueurs</t>
  </si>
  <si>
    <t>Wine from other fruits</t>
  </si>
  <si>
    <t>Fresh whole milk</t>
  </si>
  <si>
    <t>Fruit preserves</t>
  </si>
  <si>
    <t>Fresh low-fat milk</t>
  </si>
  <si>
    <t>Cereals and grains</t>
  </si>
  <si>
    <t>Chocolate</t>
  </si>
  <si>
    <t>Offal and offal products</t>
  </si>
  <si>
    <t>Honey</t>
  </si>
  <si>
    <t>Wine based drinks</t>
  </si>
  <si>
    <t>Stone fruit</t>
  </si>
  <si>
    <t>Cigarettes</t>
  </si>
  <si>
    <t>Sauerkraut</t>
  </si>
  <si>
    <t>Beer based drinks</t>
  </si>
  <si>
    <t>Wine from grapes</t>
  </si>
  <si>
    <t>Onion</t>
  </si>
  <si>
    <t>Beetroot</t>
  </si>
  <si>
    <t>Chickens, roosters, chicks</t>
  </si>
  <si>
    <t>Berries</t>
  </si>
  <si>
    <t>Low alcohol drinks</t>
  </si>
  <si>
    <t>Meats except poultry</t>
  </si>
  <si>
    <t>Cucumbers</t>
  </si>
  <si>
    <t>Cottage cheese</t>
  </si>
  <si>
    <t>Mixed minced meat</t>
  </si>
  <si>
    <t>Chips</t>
  </si>
  <si>
    <t>Ripened and processed cheeses</t>
  </si>
  <si>
    <t>Cigars</t>
  </si>
  <si>
    <t>Carrot</t>
  </si>
  <si>
    <t>Lager Beer</t>
  </si>
  <si>
    <t>Fortified wine</t>
  </si>
  <si>
    <t>Cream</t>
  </si>
  <si>
    <t>Veal meat</t>
  </si>
  <si>
    <t>Confectionery</t>
  </si>
  <si>
    <t>Udescription</t>
  </si>
  <si>
    <t>Vegetable juices</t>
  </si>
  <si>
    <t>Frozen fruits</t>
  </si>
  <si>
    <t>Other fresh fruits</t>
  </si>
  <si>
    <t>Other edible root vegetables</t>
  </si>
  <si>
    <t>Pastry products</t>
  </si>
  <si>
    <t>Mineral water</t>
  </si>
  <si>
    <t>Frozen vegetables</t>
  </si>
  <si>
    <t>Other cereal products</t>
  </si>
  <si>
    <t>Ice cream</t>
  </si>
  <si>
    <t>Other non-alcoholic beverages</t>
  </si>
  <si>
    <t>Fresh or refrigerated seafood</t>
  </si>
  <si>
    <t>Other types of meat</t>
  </si>
  <si>
    <t>Fresh or refrigerated fish</t>
  </si>
  <si>
    <t>Dried, salted, or smoked meat</t>
  </si>
  <si>
    <t>Sheep and goat meat</t>
  </si>
  <si>
    <t>Other citrus fruits</t>
  </si>
  <si>
    <t>Poultry</t>
  </si>
  <si>
    <t>Pork</t>
  </si>
  <si>
    <t>Fruit compote</t>
  </si>
  <si>
    <t>Jam, jelly, marmalade, preserves</t>
  </si>
  <si>
    <t>Wheat and rye</t>
  </si>
  <si>
    <t>Powdered milk</t>
  </si>
  <si>
    <t>Other sugary products</t>
  </si>
  <si>
    <t>Cocoa</t>
  </si>
  <si>
    <t>Dietary canned fruits</t>
  </si>
  <si>
    <t>Margarine</t>
  </si>
  <si>
    <t>other spirits and liqueurs</t>
  </si>
  <si>
    <t>Fresh greens</t>
  </si>
  <si>
    <t>Fresh cow cheese</t>
  </si>
  <si>
    <t>Cereal flour</t>
  </si>
  <si>
    <t>Chocolate (including chocolate candies)</t>
  </si>
  <si>
    <t/>
  </si>
  <si>
    <t>cons</t>
  </si>
  <si>
    <t>cons_q</t>
  </si>
  <si>
    <t>id_food</t>
  </si>
  <si>
    <t>score</t>
  </si>
  <si>
    <t>id_conv</t>
  </si>
  <si>
    <t>code_rou</t>
  </si>
  <si>
    <t>unit</t>
  </si>
  <si>
    <t>kg</t>
  </si>
  <si>
    <t>liters</t>
  </si>
  <si>
    <t>lei</t>
  </si>
  <si>
    <t>number</t>
  </si>
  <si>
    <t>kcal100g</t>
  </si>
  <si>
    <t>edible</t>
  </si>
  <si>
    <t>_merge</t>
  </si>
  <si>
    <t>Note</t>
  </si>
  <si>
    <t>Udescription in Romania conv file</t>
  </si>
  <si>
    <t>Sweets (fruits: 348; sour:389)</t>
  </si>
  <si>
    <t>Veal (liver:131, roast: 107, average: 147, breast: 187; shoulder: 105)</t>
  </si>
  <si>
    <t>Cream (35%: 345; 17%: 181; 28%: 275; 34%: 326; coffee cream 10%: 119; cooking cream 15%: 163; cooking cream 27%:263; quark cream: 125)</t>
  </si>
  <si>
    <t>a wine to which a distilled spirit, usually brandy (i.e. &gt; 15%) - Madeira wine 21.5%: 156; Port wine: 20%: 160</t>
  </si>
  <si>
    <t xml:space="preserve">Google: lager beer 100 g (similar to other beers in the dataset) </t>
  </si>
  <si>
    <t>https://www.eatthismuch.com/calories/moroccan-cigars-2312275</t>
  </si>
  <si>
    <t>close to blue cheese</t>
  </si>
  <si>
    <t>potatoe chip</t>
  </si>
  <si>
    <t>beef-pork 15% fat and pork-beed, 7% fat</t>
  </si>
  <si>
    <t>highest value based on a variety of meat</t>
  </si>
  <si>
    <t xml:space="preserve">like a beer 4.5% </t>
  </si>
  <si>
    <t>average. Raw</t>
  </si>
  <si>
    <t>14% volume</t>
  </si>
  <si>
    <t>https://www.fatsecret.com/calories-nutrition/usda/sauerkraut-(low-sodium-canned)?portionid=63475&amp;portionamount=100.000</t>
  </si>
  <si>
    <t>pplum or nectarine for isntance</t>
  </si>
  <si>
    <t>24.6 </t>
  </si>
  <si>
    <t>Non-alcoholic beer</t>
  </si>
  <si>
    <t>White fish, average, salted, dried</t>
  </si>
  <si>
    <t>Oil, average</t>
  </si>
  <si>
    <t>https://www.nutritionix.com/food/mixed-fruit-juice</t>
  </si>
  <si>
    <t>Mixed fruit juice 128 cal in 237 gram</t>
  </si>
  <si>
    <t>https://www.nutritionvalue.org/Animal_fat_or_drippings_81201000_nutritional_value.html</t>
  </si>
  <si>
    <t>1615 cal in 192 gram</t>
  </si>
  <si>
    <t>149 cal in 244 gram</t>
  </si>
  <si>
    <t>https://www.nutritionix.com/food/whole-milk</t>
  </si>
  <si>
    <t>https://www.nutritionix.com/food/fruit-preserves</t>
  </si>
  <si>
    <t>56 calorie in 20 gram.</t>
  </si>
  <si>
    <t>https://www.nutritionix.com/food/low-fat-milk</t>
  </si>
  <si>
    <t>102 cal in 244 gram.</t>
  </si>
  <si>
    <t>https://www.snapcalorie.com/nutrition/grains_and_cereals_nutrition.html</t>
  </si>
  <si>
    <t xml:space="preserve">840 cal in 240g for cereal, </t>
  </si>
  <si>
    <t>This is not easy to get picked 150 calorie per 100g since "Angus Beef Offal Mince, for instance, contains 188 calories per 100g, while beef liver has 133 calories per 100g. "</t>
  </si>
  <si>
    <t>https://www.google.com/search?q=offal+calories&amp;rlz=1C1GCFD_enUS1089US1089&amp;oq=offal+calorie&amp;gs_lcrp=EgZjaHJvbWUqBwgAEAAYgAQyBwgAEAAYgAQyBggBEEUYOTIICAIQABgWGB4yCAgDEAAYFhgeMggIBBAAGBYYHjINCAUQABiGAxiABBiKBTINCAYQABiGAxiABBiKBTINCAcQABiGAxiABBiKBTIKCAgQABiABBiiBDIKCAkQABiABBiiBNIBCDMzMjZqMGo0qAIAsAIB&amp;sourceid=chrome&amp;ie=UTF-8</t>
  </si>
  <si>
    <t>Not easy, let's just use wine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</si>
</sst>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name val="Calibri"/>
    </font>
    <font>
      <sz val="11"/>
      <color theme="7"/>
      <name val="Calibri"/>
      <family val="2"/>
    </font>
    <font>
      <sz val="11"/>
      <name val="Calibri"/>
      <family val="2"/>
    </font>
    <font>
      <u/>
      <sz val="11"/>
      <color theme="10"/>
      <name val="Calibri"/>
      <family val="2"/>
    </font>
  </fonts>
  <fills count="6">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0"/>
        <bgColor indexed="64"/>
      </patternFill>
    </fill>
  </fills>
  <borders count="2">
    <border>
      <left/>
      <right/>
      <top/>
      <bottom/>
      <diagonal/>
    </border>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1" fontId="0" fillId="0" borderId="1" xfId="0" applyNumberFormat="1" applyBorder="1"/>
    <xf numFmtId="164" fontId="0" fillId="0" borderId="1" xfId="0" applyNumberFormat="1" applyBorder="1"/>
    <xf numFmtId="0" fontId="0" fillId="2" borderId="0" xfId="0" applyFill="1"/>
    <xf numFmtId="0" fontId="0" fillId="3" borderId="0" xfId="0" applyFill="1"/>
    <xf numFmtId="0" fontId="2" fillId="0" borderId="0" xfId="0" applyFont="1"/>
    <xf numFmtId="0" fontId="0" fillId="4" borderId="0" xfId="0" applyFill="1"/>
    <xf numFmtId="1" fontId="1" fillId="2" borderId="1" xfId="0" applyNumberFormat="1" applyFont="1" applyFill="1" applyBorder="1"/>
    <xf numFmtId="0" fontId="0" fillId="5" borderId="0" xfId="0" applyFill="1"/>
    <xf numFmtId="1" fontId="2" fillId="0" borderId="1" xfId="0" applyNumberFormat="1" applyFont="1" applyBorder="1"/>
    <xf numFmtId="1" fontId="0" fillId="0" borderId="1" xfId="0" applyNumberFormat="1" applyBorder="1" applyAlignment="1">
      <alignment horizontal="right"/>
    </xf>
    <xf numFmtId="0" fontId="3" fillId="0" borderId="0" xfId="1"/>
    <xf numFmtId="1" fontId="2" fillId="5" borderId="1" xfId="0" applyNumberFormat="1" applyFont="1" applyFill="1" applyBorder="1"/>
    <xf numFmtId="1" fontId="2" fillId="0" borderId="1" xfId="0" applyNumberFormat="1" applyFont="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nutritionix.com/food/fruit-preserves" TargetMode="External"/><Relationship Id="rId2" Type="http://schemas.openxmlformats.org/officeDocument/2006/relationships/hyperlink" Target="https://www.nutritionvalue.org/Animal_fat_or_drippings_81201000_nutritional_value.html" TargetMode="External"/><Relationship Id="rId1" Type="http://schemas.openxmlformats.org/officeDocument/2006/relationships/hyperlink" Target="https://www.nutritionix.com/food/mixed-fruit-jui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C97F-22CA-4414-AB27-185196490C7F}">
  <dimension ref="A1:F90"/>
  <sheetViews>
    <sheetView tabSelected="1" workbookViewId="0">
      <pane ySplit="1" topLeftCell="A57" activePane="bottomLeft" state="frozen"/>
      <selection pane="bottomLeft" activeCell="C37" sqref="C37"/>
    </sheetView>
  </sheetViews>
  <sheetFormatPr defaultRowHeight="14.5" x14ac:dyDescent="0.35"/>
  <cols>
    <col min="2" max="2" width="45.6328125" bestFit="1" customWidth="1"/>
  </cols>
  <sheetData>
    <row r="1" spans="1:5" x14ac:dyDescent="0.35">
      <c r="A1" t="s">
        <v>0</v>
      </c>
      <c r="B1" t="s">
        <v>1</v>
      </c>
      <c r="C1" t="s">
        <v>135</v>
      </c>
      <c r="D1" t="s">
        <v>136</v>
      </c>
      <c r="E1" s="5" t="s">
        <v>138</v>
      </c>
    </row>
    <row r="2" spans="1:5" x14ac:dyDescent="0.35">
      <c r="A2" s="1">
        <v>11613</v>
      </c>
      <c r="B2" t="s">
        <v>2</v>
      </c>
      <c r="C2" s="9">
        <v>48</v>
      </c>
      <c r="D2" s="1">
        <v>100</v>
      </c>
    </row>
    <row r="3" spans="1:5" x14ac:dyDescent="0.35">
      <c r="A3" s="1">
        <v>12121</v>
      </c>
      <c r="B3" t="s">
        <v>3</v>
      </c>
      <c r="C3" s="9">
        <v>0.4</v>
      </c>
      <c r="D3" s="1">
        <v>100</v>
      </c>
    </row>
    <row r="4" spans="1:5" x14ac:dyDescent="0.35">
      <c r="A4" s="1">
        <v>11811</v>
      </c>
      <c r="B4" t="s">
        <v>4</v>
      </c>
      <c r="C4" s="9">
        <v>399</v>
      </c>
      <c r="D4" s="1">
        <v>100</v>
      </c>
    </row>
    <row r="5" spans="1:5" x14ac:dyDescent="0.35">
      <c r="A5" s="1">
        <v>11531</v>
      </c>
      <c r="B5" t="s">
        <v>5</v>
      </c>
      <c r="C5" s="9">
        <v>900</v>
      </c>
      <c r="D5" s="1">
        <v>100</v>
      </c>
    </row>
    <row r="6" spans="1:5" x14ac:dyDescent="0.35">
      <c r="A6" s="1">
        <v>11441</v>
      </c>
      <c r="B6" t="s">
        <v>6</v>
      </c>
      <c r="C6" s="9">
        <v>151</v>
      </c>
      <c r="D6" s="1">
        <v>100</v>
      </c>
    </row>
    <row r="7" spans="1:5" x14ac:dyDescent="0.35">
      <c r="A7" s="1">
        <v>11141</v>
      </c>
      <c r="B7" t="s">
        <v>7</v>
      </c>
      <c r="C7" s="9">
        <v>365</v>
      </c>
      <c r="D7" s="1">
        <v>100</v>
      </c>
    </row>
    <row r="8" spans="1:5" x14ac:dyDescent="0.35">
      <c r="A8" s="1">
        <v>11921</v>
      </c>
      <c r="B8" t="s">
        <v>8</v>
      </c>
      <c r="C8" s="9">
        <v>0</v>
      </c>
      <c r="D8" s="1">
        <v>100</v>
      </c>
    </row>
    <row r="9" spans="1:5" x14ac:dyDescent="0.35">
      <c r="A9" s="1">
        <v>11612</v>
      </c>
      <c r="B9" t="s">
        <v>9</v>
      </c>
      <c r="C9" s="9">
        <v>90.6</v>
      </c>
      <c r="D9" s="1">
        <v>100</v>
      </c>
    </row>
    <row r="10" spans="1:5" x14ac:dyDescent="0.35">
      <c r="A10" s="1">
        <v>11511</v>
      </c>
      <c r="B10" t="s">
        <v>10</v>
      </c>
      <c r="C10" s="9">
        <v>725</v>
      </c>
      <c r="D10" s="1">
        <v>100</v>
      </c>
    </row>
    <row r="11" spans="1:5" x14ac:dyDescent="0.35">
      <c r="A11" s="1">
        <v>11211</v>
      </c>
      <c r="B11" t="s">
        <v>11</v>
      </c>
      <c r="C11" s="9">
        <v>127</v>
      </c>
      <c r="D11" s="1">
        <v>100</v>
      </c>
    </row>
    <row r="12" spans="1:5" x14ac:dyDescent="0.35">
      <c r="A12" s="1">
        <v>11713</v>
      </c>
      <c r="B12" t="s">
        <v>12</v>
      </c>
      <c r="C12" s="9">
        <v>33.299999999999997</v>
      </c>
      <c r="D12" s="1">
        <v>100</v>
      </c>
    </row>
    <row r="13" spans="1:5" x14ac:dyDescent="0.35">
      <c r="A13" s="1">
        <v>11741</v>
      </c>
      <c r="B13" t="s">
        <v>13</v>
      </c>
      <c r="C13" s="9">
        <v>77.400000000000006</v>
      </c>
      <c r="D13" s="1">
        <v>100</v>
      </c>
    </row>
    <row r="14" spans="1:5" x14ac:dyDescent="0.35">
      <c r="A14" s="1">
        <v>11171</v>
      </c>
      <c r="B14" t="s">
        <v>14</v>
      </c>
      <c r="C14" s="9">
        <v>371</v>
      </c>
      <c r="D14" s="1">
        <v>100</v>
      </c>
    </row>
    <row r="15" spans="1:5" x14ac:dyDescent="0.35">
      <c r="A15" s="1">
        <v>11341</v>
      </c>
      <c r="B15" t="s">
        <v>15</v>
      </c>
      <c r="C15" s="9">
        <v>88</v>
      </c>
      <c r="D15" s="1">
        <v>100</v>
      </c>
    </row>
    <row r="16" spans="1:5" x14ac:dyDescent="0.35">
      <c r="A16" s="1">
        <v>11111</v>
      </c>
      <c r="B16" t="s">
        <v>16</v>
      </c>
      <c r="C16" s="9">
        <v>344</v>
      </c>
      <c r="D16" s="1">
        <v>100</v>
      </c>
    </row>
    <row r="17" spans="1:4" x14ac:dyDescent="0.35">
      <c r="A17" s="1">
        <v>11742</v>
      </c>
      <c r="B17" t="s">
        <v>17</v>
      </c>
      <c r="C17" s="9">
        <v>357</v>
      </c>
      <c r="D17" s="1">
        <v>100</v>
      </c>
    </row>
    <row r="18" spans="1:4" x14ac:dyDescent="0.35">
      <c r="A18" s="1">
        <v>11714</v>
      </c>
      <c r="B18" t="s">
        <v>18</v>
      </c>
      <c r="C18" s="9">
        <v>21.9</v>
      </c>
      <c r="D18" s="1">
        <v>100</v>
      </c>
    </row>
    <row r="19" spans="1:4" x14ac:dyDescent="0.35">
      <c r="A19" s="1">
        <v>11861</v>
      </c>
      <c r="B19" t="s">
        <v>19</v>
      </c>
      <c r="C19" s="9">
        <v>324</v>
      </c>
      <c r="D19" s="1">
        <v>100</v>
      </c>
    </row>
    <row r="20" spans="1:4" x14ac:dyDescent="0.35">
      <c r="A20" s="1">
        <v>11321</v>
      </c>
      <c r="B20" t="s">
        <v>20</v>
      </c>
      <c r="C20" s="9">
        <v>88</v>
      </c>
      <c r="D20" s="1">
        <v>100</v>
      </c>
    </row>
    <row r="21" spans="1:4" x14ac:dyDescent="0.35">
      <c r="A21" s="1">
        <v>12111</v>
      </c>
      <c r="B21" t="s">
        <v>21</v>
      </c>
      <c r="C21" s="9">
        <v>6.3</v>
      </c>
      <c r="D21" s="1">
        <v>100</v>
      </c>
    </row>
    <row r="22" spans="1:4" x14ac:dyDescent="0.35">
      <c r="A22" s="1">
        <v>11712</v>
      </c>
      <c r="B22" t="s">
        <v>22</v>
      </c>
      <c r="C22" s="9">
        <v>29.5</v>
      </c>
      <c r="D22" s="1">
        <v>100</v>
      </c>
    </row>
    <row r="23" spans="1:4" x14ac:dyDescent="0.35">
      <c r="A23" s="1">
        <v>11471</v>
      </c>
      <c r="B23" t="s">
        <v>23</v>
      </c>
      <c r="C23" s="9">
        <v>144</v>
      </c>
      <c r="D23" s="1">
        <v>100</v>
      </c>
    </row>
    <row r="24" spans="1:4" x14ac:dyDescent="0.35">
      <c r="A24" s="1">
        <v>11131</v>
      </c>
      <c r="B24" t="s">
        <v>24</v>
      </c>
      <c r="C24" s="9">
        <v>211</v>
      </c>
      <c r="D24" s="1">
        <v>100</v>
      </c>
    </row>
    <row r="25" spans="1:4" x14ac:dyDescent="0.35">
      <c r="A25" s="1">
        <v>12232</v>
      </c>
      <c r="B25" t="s">
        <v>25</v>
      </c>
      <c r="C25" s="9">
        <v>44</v>
      </c>
      <c r="D25" s="1">
        <v>100</v>
      </c>
    </row>
    <row r="26" spans="1:4" x14ac:dyDescent="0.35">
      <c r="A26" s="1">
        <v>11621</v>
      </c>
      <c r="B26" t="s">
        <v>26</v>
      </c>
      <c r="C26" s="9">
        <v>50</v>
      </c>
      <c r="D26" s="1">
        <v>100</v>
      </c>
    </row>
    <row r="27" spans="1:4" x14ac:dyDescent="0.35">
      <c r="A27" s="1">
        <v>11616</v>
      </c>
      <c r="B27" t="s">
        <v>27</v>
      </c>
      <c r="C27" s="9">
        <v>50</v>
      </c>
      <c r="D27" s="1">
        <v>100</v>
      </c>
    </row>
    <row r="28" spans="1:4" x14ac:dyDescent="0.35">
      <c r="A28" s="1">
        <v>11761</v>
      </c>
      <c r="B28" t="s">
        <v>28</v>
      </c>
      <c r="C28" s="9">
        <v>32.4</v>
      </c>
      <c r="D28" s="1">
        <v>100</v>
      </c>
    </row>
    <row r="29" spans="1:4" x14ac:dyDescent="0.35">
      <c r="A29" s="1">
        <v>11161</v>
      </c>
      <c r="B29" t="s">
        <v>29</v>
      </c>
      <c r="C29" s="9">
        <v>365</v>
      </c>
      <c r="D29" s="1">
        <v>100</v>
      </c>
    </row>
    <row r="30" spans="1:4" x14ac:dyDescent="0.35">
      <c r="A30" s="1">
        <v>12211</v>
      </c>
      <c r="B30" t="s">
        <v>30</v>
      </c>
      <c r="C30" s="9">
        <v>0</v>
      </c>
      <c r="D30" s="1">
        <v>100</v>
      </c>
    </row>
    <row r="31" spans="1:4" x14ac:dyDescent="0.35">
      <c r="A31" s="1">
        <v>11721</v>
      </c>
      <c r="B31" t="s">
        <v>31</v>
      </c>
      <c r="C31" s="9">
        <v>27.4</v>
      </c>
      <c r="D31" s="1">
        <v>100</v>
      </c>
    </row>
    <row r="32" spans="1:4" x14ac:dyDescent="0.35">
      <c r="A32" s="1">
        <v>11282</v>
      </c>
      <c r="B32" t="s">
        <v>32</v>
      </c>
      <c r="C32" s="9">
        <v>137</v>
      </c>
      <c r="D32" s="1">
        <v>100</v>
      </c>
    </row>
    <row r="33" spans="1:6" x14ac:dyDescent="0.35">
      <c r="A33" s="1">
        <v>11851</v>
      </c>
      <c r="B33" t="s">
        <v>33</v>
      </c>
      <c r="C33" s="9">
        <v>211</v>
      </c>
      <c r="D33" s="1">
        <v>100</v>
      </c>
    </row>
    <row r="34" spans="1:6" x14ac:dyDescent="0.35">
      <c r="A34" s="1">
        <v>21321</v>
      </c>
      <c r="B34" t="s">
        <v>34</v>
      </c>
      <c r="C34" s="9">
        <v>43</v>
      </c>
      <c r="D34" s="1">
        <v>100</v>
      </c>
      <c r="E34" t="str">
        <f>"=lager beer"</f>
        <v>=lager beer</v>
      </c>
    </row>
    <row r="35" spans="1:6" x14ac:dyDescent="0.35">
      <c r="A35" s="1">
        <v>11331</v>
      </c>
      <c r="B35" t="s">
        <v>35</v>
      </c>
      <c r="C35" s="9">
        <v>88</v>
      </c>
      <c r="D35" s="1">
        <v>100</v>
      </c>
    </row>
    <row r="36" spans="1:6" x14ac:dyDescent="0.35">
      <c r="A36" s="1">
        <v>21331</v>
      </c>
      <c r="B36" t="s">
        <v>36</v>
      </c>
      <c r="C36" s="13">
        <v>24.6</v>
      </c>
      <c r="D36" s="1">
        <v>100</v>
      </c>
      <c r="E36" s="5" t="s">
        <v>156</v>
      </c>
    </row>
    <row r="37" spans="1:6" x14ac:dyDescent="0.35">
      <c r="A37" s="1">
        <v>11251</v>
      </c>
      <c r="B37" t="s">
        <v>37</v>
      </c>
      <c r="C37" s="9">
        <v>137</v>
      </c>
      <c r="D37" s="1">
        <v>100</v>
      </c>
    </row>
    <row r="38" spans="1:6" x14ac:dyDescent="0.35">
      <c r="A38" s="1">
        <v>11311</v>
      </c>
      <c r="B38" t="s">
        <v>38</v>
      </c>
      <c r="C38" s="9">
        <v>88</v>
      </c>
      <c r="D38" s="1">
        <v>100</v>
      </c>
    </row>
    <row r="39" spans="1:6" x14ac:dyDescent="0.35">
      <c r="A39" s="1">
        <v>11351</v>
      </c>
      <c r="B39" t="s">
        <v>39</v>
      </c>
      <c r="C39" s="9">
        <v>148</v>
      </c>
      <c r="D39" s="1">
        <v>100</v>
      </c>
      <c r="E39" s="5" t="s">
        <v>157</v>
      </c>
    </row>
    <row r="40" spans="1:6" x14ac:dyDescent="0.35">
      <c r="A40" s="1">
        <v>11719</v>
      </c>
      <c r="B40" t="s">
        <v>40</v>
      </c>
      <c r="C40" s="9">
        <v>32.4</v>
      </c>
      <c r="D40" s="1">
        <v>100</v>
      </c>
      <c r="E40" t="e">
        <f>#REF!</f>
        <v>#REF!</v>
      </c>
    </row>
    <row r="41" spans="1:6" x14ac:dyDescent="0.35">
      <c r="A41" s="1">
        <v>11732</v>
      </c>
      <c r="B41" t="s">
        <v>41</v>
      </c>
      <c r="C41" s="9">
        <v>32.4</v>
      </c>
      <c r="D41" s="1">
        <v>100</v>
      </c>
      <c r="E41" t="e">
        <f>#REF!</f>
        <v>#REF!</v>
      </c>
    </row>
    <row r="42" spans="1:6" x14ac:dyDescent="0.35">
      <c r="A42" s="1">
        <v>11231</v>
      </c>
      <c r="B42" t="s">
        <v>42</v>
      </c>
      <c r="C42" s="9">
        <v>137</v>
      </c>
      <c r="D42" s="1">
        <v>100</v>
      </c>
    </row>
    <row r="43" spans="1:6" x14ac:dyDescent="0.35">
      <c r="A43" s="1">
        <v>11541</v>
      </c>
      <c r="B43" t="s">
        <v>43</v>
      </c>
      <c r="C43" s="9">
        <v>900</v>
      </c>
      <c r="D43" s="1">
        <v>100</v>
      </c>
      <c r="E43" s="5" t="s">
        <v>158</v>
      </c>
    </row>
    <row r="44" spans="1:6" x14ac:dyDescent="0.35">
      <c r="A44" s="1">
        <v>11611</v>
      </c>
      <c r="B44" t="s">
        <v>44</v>
      </c>
      <c r="C44" s="9">
        <v>42.7</v>
      </c>
      <c r="D44" s="1">
        <v>100</v>
      </c>
    </row>
    <row r="45" spans="1:6" x14ac:dyDescent="0.35">
      <c r="A45" s="1">
        <v>11272</v>
      </c>
      <c r="B45" t="s">
        <v>45</v>
      </c>
      <c r="C45" s="9">
        <v>127</v>
      </c>
      <c r="D45" s="1">
        <v>100</v>
      </c>
    </row>
    <row r="46" spans="1:6" x14ac:dyDescent="0.35">
      <c r="A46" s="1">
        <v>11221</v>
      </c>
      <c r="B46" t="s">
        <v>46</v>
      </c>
      <c r="C46" s="9">
        <v>218</v>
      </c>
      <c r="D46" s="1">
        <v>100</v>
      </c>
    </row>
    <row r="47" spans="1:6" x14ac:dyDescent="0.35">
      <c r="A47" s="1">
        <v>12231</v>
      </c>
      <c r="B47" t="s">
        <v>47</v>
      </c>
      <c r="C47" s="9">
        <v>54.008438818565402</v>
      </c>
      <c r="D47" s="1">
        <v>100</v>
      </c>
      <c r="E47" s="5" t="s">
        <v>160</v>
      </c>
      <c r="F47" s="11"/>
    </row>
    <row r="48" spans="1:6" x14ac:dyDescent="0.35">
      <c r="A48" s="1">
        <v>11821</v>
      </c>
      <c r="B48" t="s">
        <v>48</v>
      </c>
      <c r="C48" s="9">
        <v>168</v>
      </c>
      <c r="D48" s="1">
        <v>100</v>
      </c>
    </row>
    <row r="49" spans="1:6" x14ac:dyDescent="0.35">
      <c r="A49" s="1">
        <v>11121</v>
      </c>
      <c r="B49" t="s">
        <v>49</v>
      </c>
      <c r="C49" s="9">
        <v>300</v>
      </c>
      <c r="D49" s="1">
        <v>100</v>
      </c>
    </row>
    <row r="50" spans="1:6" x14ac:dyDescent="0.35">
      <c r="A50" s="1">
        <v>11551</v>
      </c>
      <c r="B50" t="s">
        <v>50</v>
      </c>
      <c r="C50" s="9">
        <v>841.14583333333337</v>
      </c>
      <c r="D50" s="1">
        <v>100</v>
      </c>
      <c r="E50" s="5" t="s">
        <v>162</v>
      </c>
      <c r="F50" s="11"/>
    </row>
    <row r="51" spans="1:6" x14ac:dyDescent="0.35">
      <c r="A51" s="1">
        <v>11431</v>
      </c>
      <c r="B51" t="s">
        <v>51</v>
      </c>
      <c r="C51" s="9">
        <v>357</v>
      </c>
      <c r="D51" s="1">
        <v>100</v>
      </c>
    </row>
    <row r="52" spans="1:6" x14ac:dyDescent="0.35">
      <c r="A52" s="1">
        <v>11242</v>
      </c>
      <c r="B52" t="s">
        <v>52</v>
      </c>
      <c r="C52" s="9">
        <v>127</v>
      </c>
      <c r="D52" s="1">
        <v>100</v>
      </c>
      <c r="E52" s="5" t="s">
        <v>108</v>
      </c>
    </row>
    <row r="53" spans="1:6" x14ac:dyDescent="0.35">
      <c r="A53" s="1">
        <v>12221</v>
      </c>
      <c r="B53" t="s">
        <v>53</v>
      </c>
      <c r="C53" s="9">
        <v>44</v>
      </c>
      <c r="D53" s="1">
        <v>100</v>
      </c>
    </row>
    <row r="54" spans="1:6" x14ac:dyDescent="0.35">
      <c r="A54" s="1">
        <v>11122</v>
      </c>
      <c r="B54" t="s">
        <v>54</v>
      </c>
      <c r="C54" s="9">
        <v>300</v>
      </c>
      <c r="D54" s="1">
        <v>100</v>
      </c>
      <c r="E54" t="str">
        <f>"White flour"</f>
        <v>White flour</v>
      </c>
    </row>
    <row r="55" spans="1:6" x14ac:dyDescent="0.35">
      <c r="A55" s="1">
        <v>12131</v>
      </c>
      <c r="B55" t="s">
        <v>55</v>
      </c>
      <c r="C55" s="9">
        <v>363</v>
      </c>
      <c r="D55" s="1">
        <v>100</v>
      </c>
    </row>
    <row r="56" spans="1:6" x14ac:dyDescent="0.35">
      <c r="A56" s="1">
        <v>11631</v>
      </c>
      <c r="B56" t="s">
        <v>56</v>
      </c>
      <c r="C56" s="9">
        <v>505</v>
      </c>
      <c r="D56" s="1">
        <v>100</v>
      </c>
    </row>
    <row r="57" spans="1:6" x14ac:dyDescent="0.35">
      <c r="A57" s="1">
        <v>11521</v>
      </c>
      <c r="B57" t="s">
        <v>57</v>
      </c>
      <c r="C57" s="9">
        <v>350</v>
      </c>
      <c r="D57" s="1">
        <v>100</v>
      </c>
    </row>
    <row r="58" spans="1:6" x14ac:dyDescent="0.35">
      <c r="A58" s="1">
        <v>21111</v>
      </c>
      <c r="B58" t="s">
        <v>58</v>
      </c>
      <c r="C58" s="9">
        <v>227</v>
      </c>
      <c r="D58" s="1">
        <v>100</v>
      </c>
    </row>
    <row r="59" spans="1:6" x14ac:dyDescent="0.35">
      <c r="A59" s="1">
        <v>21221</v>
      </c>
      <c r="B59" t="s">
        <v>59</v>
      </c>
      <c r="C59" s="9">
        <v>77</v>
      </c>
      <c r="D59" s="1">
        <v>100</v>
      </c>
      <c r="E59" t="str">
        <f>"Wine from fruits"</f>
        <v>Wine from fruits</v>
      </c>
    </row>
    <row r="60" spans="1:6" x14ac:dyDescent="0.35">
      <c r="A60" s="1">
        <v>11411</v>
      </c>
      <c r="B60" t="s">
        <v>60</v>
      </c>
      <c r="C60" s="9">
        <v>61.065573770491795</v>
      </c>
      <c r="D60" s="1">
        <v>100</v>
      </c>
      <c r="E60" s="5" t="s">
        <v>163</v>
      </c>
    </row>
    <row r="61" spans="1:6" x14ac:dyDescent="0.35">
      <c r="A61" s="1">
        <v>11641</v>
      </c>
      <c r="B61" t="s">
        <v>61</v>
      </c>
      <c r="C61" s="9">
        <v>280</v>
      </c>
      <c r="D61" s="1">
        <v>100</v>
      </c>
      <c r="E61" s="5" t="s">
        <v>166</v>
      </c>
      <c r="F61" s="11"/>
    </row>
    <row r="62" spans="1:6" x14ac:dyDescent="0.35">
      <c r="A62" s="1">
        <v>11421</v>
      </c>
      <c r="B62" t="s">
        <v>62</v>
      </c>
      <c r="C62" s="9">
        <v>41.803278688524593</v>
      </c>
      <c r="D62" s="1">
        <v>100</v>
      </c>
      <c r="E62" s="5" t="s">
        <v>168</v>
      </c>
    </row>
    <row r="63" spans="1:6" x14ac:dyDescent="0.35">
      <c r="A63" s="1">
        <v>11123</v>
      </c>
      <c r="B63" t="s">
        <v>63</v>
      </c>
      <c r="C63" s="9">
        <v>350</v>
      </c>
      <c r="D63" s="1">
        <v>100</v>
      </c>
      <c r="E63" s="5" t="s">
        <v>170</v>
      </c>
    </row>
    <row r="64" spans="1:6" x14ac:dyDescent="0.35">
      <c r="A64" s="1">
        <v>11831</v>
      </c>
      <c r="B64" t="s">
        <v>64</v>
      </c>
      <c r="C64" s="9">
        <v>550</v>
      </c>
      <c r="D64" s="1">
        <v>100</v>
      </c>
    </row>
    <row r="65" spans="1:5" x14ac:dyDescent="0.35">
      <c r="A65" s="1">
        <v>11261</v>
      </c>
      <c r="B65" s="5" t="s">
        <v>65</v>
      </c>
      <c r="C65" s="9">
        <v>150</v>
      </c>
      <c r="D65" s="1">
        <v>100</v>
      </c>
      <c r="E65" s="5" t="s">
        <v>171</v>
      </c>
    </row>
    <row r="66" spans="1:5" x14ac:dyDescent="0.35">
      <c r="A66" s="1">
        <v>11822</v>
      </c>
      <c r="B66" t="s">
        <v>66</v>
      </c>
      <c r="C66" s="9">
        <v>325</v>
      </c>
      <c r="D66" s="1">
        <v>100</v>
      </c>
    </row>
    <row r="67" spans="1:5" x14ac:dyDescent="0.35">
      <c r="A67" s="1">
        <v>21241</v>
      </c>
      <c r="B67" t="s">
        <v>67</v>
      </c>
      <c r="C67" s="9">
        <v>77</v>
      </c>
      <c r="D67" s="1">
        <v>100</v>
      </c>
      <c r="E67" s="5" t="s">
        <v>173</v>
      </c>
    </row>
    <row r="68" spans="1:5" x14ac:dyDescent="0.35">
      <c r="A68" s="1">
        <v>11615</v>
      </c>
      <c r="B68" t="s">
        <v>68</v>
      </c>
      <c r="C68" s="9">
        <v>46</v>
      </c>
      <c r="D68" s="1">
        <v>100</v>
      </c>
      <c r="E68" t="s">
        <v>154</v>
      </c>
    </row>
    <row r="69" spans="1:5" x14ac:dyDescent="0.35">
      <c r="A69" s="1">
        <v>22011</v>
      </c>
      <c r="B69" t="s">
        <v>69</v>
      </c>
      <c r="C69" s="9">
        <v>0</v>
      </c>
      <c r="D69" s="1">
        <v>100</v>
      </c>
    </row>
    <row r="70" spans="1:5" x14ac:dyDescent="0.35">
      <c r="A70" s="1">
        <v>11731</v>
      </c>
      <c r="B70" s="5" t="s">
        <v>70</v>
      </c>
      <c r="C70" s="9">
        <v>22</v>
      </c>
      <c r="D70" s="1">
        <v>100</v>
      </c>
      <c r="E70" t="s">
        <v>153</v>
      </c>
    </row>
    <row r="71" spans="1:5" x14ac:dyDescent="0.35">
      <c r="A71" s="1">
        <v>21341</v>
      </c>
      <c r="B71" t="s">
        <v>71</v>
      </c>
      <c r="C71" s="9">
        <v>43</v>
      </c>
      <c r="D71" s="1">
        <v>100</v>
      </c>
      <c r="E71" t="str">
        <f>"=lager beer"</f>
        <v>=lager beer</v>
      </c>
    </row>
    <row r="72" spans="1:5" x14ac:dyDescent="0.35">
      <c r="A72" s="1">
        <v>21211</v>
      </c>
      <c r="B72" t="s">
        <v>72</v>
      </c>
      <c r="C72" s="9">
        <v>77</v>
      </c>
      <c r="D72" s="1">
        <v>100</v>
      </c>
      <c r="E72" t="s">
        <v>152</v>
      </c>
    </row>
    <row r="73" spans="1:5" x14ac:dyDescent="0.35">
      <c r="A73" s="1">
        <v>11718</v>
      </c>
      <c r="B73" t="s">
        <v>73</v>
      </c>
      <c r="C73" s="9">
        <v>29.6</v>
      </c>
      <c r="D73" s="1">
        <v>100</v>
      </c>
    </row>
    <row r="74" spans="1:5" x14ac:dyDescent="0.35">
      <c r="A74" s="1">
        <v>11717</v>
      </c>
      <c r="B74" t="s">
        <v>74</v>
      </c>
      <c r="C74" s="9">
        <v>43.1</v>
      </c>
      <c r="D74" s="1">
        <v>100</v>
      </c>
    </row>
    <row r="75" spans="1:5" x14ac:dyDescent="0.35">
      <c r="A75" s="1">
        <v>11241</v>
      </c>
      <c r="B75" t="s">
        <v>75</v>
      </c>
      <c r="C75" s="9">
        <v>174</v>
      </c>
      <c r="D75" s="1">
        <v>100</v>
      </c>
      <c r="E75" t="s">
        <v>151</v>
      </c>
    </row>
    <row r="76" spans="1:5" x14ac:dyDescent="0.35">
      <c r="A76" s="1">
        <v>11614</v>
      </c>
      <c r="B76" t="s">
        <v>76</v>
      </c>
      <c r="C76" s="9">
        <v>49.2</v>
      </c>
      <c r="D76" s="1">
        <v>100</v>
      </c>
    </row>
    <row r="77" spans="1:5" x14ac:dyDescent="0.35">
      <c r="A77" s="1">
        <v>21121</v>
      </c>
      <c r="B77" t="s">
        <v>77</v>
      </c>
      <c r="C77" s="9">
        <v>35</v>
      </c>
      <c r="D77" s="1">
        <v>100</v>
      </c>
      <c r="E77" t="s">
        <v>150</v>
      </c>
    </row>
    <row r="78" spans="1:5" x14ac:dyDescent="0.35">
      <c r="A78" s="1">
        <v>11271</v>
      </c>
      <c r="B78" t="s">
        <v>78</v>
      </c>
      <c r="C78" s="9">
        <v>350</v>
      </c>
      <c r="D78" s="1">
        <v>100</v>
      </c>
      <c r="E78" t="s">
        <v>149</v>
      </c>
    </row>
    <row r="79" spans="1:5" x14ac:dyDescent="0.35">
      <c r="A79" s="1">
        <v>11715</v>
      </c>
      <c r="B79" t="s">
        <v>79</v>
      </c>
      <c r="C79" s="9">
        <v>21.45</v>
      </c>
      <c r="D79" s="1">
        <v>100</v>
      </c>
    </row>
    <row r="80" spans="1:5" x14ac:dyDescent="0.35">
      <c r="A80" s="1">
        <v>11452</v>
      </c>
      <c r="B80" t="s">
        <v>80</v>
      </c>
      <c r="C80" s="9">
        <v>83.8</v>
      </c>
      <c r="D80" s="1">
        <v>100</v>
      </c>
    </row>
    <row r="81" spans="1:5" x14ac:dyDescent="0.35">
      <c r="A81" s="1">
        <v>11281</v>
      </c>
      <c r="B81" t="s">
        <v>81</v>
      </c>
      <c r="C81" s="9">
        <v>177</v>
      </c>
      <c r="D81" s="1">
        <v>100</v>
      </c>
      <c r="E81" t="s">
        <v>148</v>
      </c>
    </row>
    <row r="82" spans="1:5" x14ac:dyDescent="0.35">
      <c r="A82" s="1">
        <v>11751</v>
      </c>
      <c r="B82" t="s">
        <v>82</v>
      </c>
      <c r="C82" s="9">
        <v>510</v>
      </c>
      <c r="D82" s="1">
        <v>100</v>
      </c>
      <c r="E82" t="s">
        <v>147</v>
      </c>
    </row>
    <row r="83" spans="1:5" x14ac:dyDescent="0.35">
      <c r="A83" s="1">
        <v>11451</v>
      </c>
      <c r="B83" t="s">
        <v>83</v>
      </c>
      <c r="C83" s="9">
        <v>358</v>
      </c>
      <c r="D83" s="1">
        <v>100</v>
      </c>
      <c r="E83" t="s">
        <v>146</v>
      </c>
    </row>
    <row r="84" spans="1:5" x14ac:dyDescent="0.35">
      <c r="A84" s="1">
        <v>22021</v>
      </c>
      <c r="B84" t="s">
        <v>84</v>
      </c>
      <c r="C84" s="9">
        <v>227</v>
      </c>
      <c r="D84" s="1">
        <v>100</v>
      </c>
      <c r="E84" t="s">
        <v>145</v>
      </c>
    </row>
    <row r="85" spans="1:5" x14ac:dyDescent="0.35">
      <c r="A85" s="1">
        <v>11716</v>
      </c>
      <c r="B85" t="s">
        <v>85</v>
      </c>
      <c r="C85" s="9">
        <v>32.4</v>
      </c>
      <c r="D85" s="1">
        <v>100</v>
      </c>
    </row>
    <row r="86" spans="1:5" x14ac:dyDescent="0.35">
      <c r="A86" s="1">
        <v>21311</v>
      </c>
      <c r="B86" t="s">
        <v>86</v>
      </c>
      <c r="C86" s="9">
        <v>43</v>
      </c>
      <c r="D86" s="1">
        <v>100</v>
      </c>
      <c r="E86" t="s">
        <v>144</v>
      </c>
    </row>
    <row r="87" spans="1:5" x14ac:dyDescent="0.35">
      <c r="A87" s="1">
        <v>21231</v>
      </c>
      <c r="B87" t="s">
        <v>87</v>
      </c>
      <c r="C87" s="9">
        <v>158</v>
      </c>
      <c r="D87" s="1">
        <v>100</v>
      </c>
      <c r="E87" t="s">
        <v>143</v>
      </c>
    </row>
    <row r="88" spans="1:5" x14ac:dyDescent="0.35">
      <c r="A88" s="1">
        <v>11461</v>
      </c>
      <c r="B88" t="s">
        <v>88</v>
      </c>
      <c r="C88" s="9">
        <v>224.625</v>
      </c>
      <c r="D88" s="1">
        <v>100</v>
      </c>
      <c r="E88" t="s">
        <v>142</v>
      </c>
    </row>
    <row r="89" spans="1:5" x14ac:dyDescent="0.35">
      <c r="A89" s="1">
        <v>11212</v>
      </c>
      <c r="B89" t="s">
        <v>89</v>
      </c>
      <c r="C89" s="9">
        <v>135.4</v>
      </c>
      <c r="D89" s="1">
        <v>100</v>
      </c>
      <c r="E89" t="s">
        <v>141</v>
      </c>
    </row>
    <row r="90" spans="1:5" x14ac:dyDescent="0.35">
      <c r="A90" s="1">
        <v>11841</v>
      </c>
      <c r="B90" t="s">
        <v>90</v>
      </c>
      <c r="C90" s="9">
        <v>368.5</v>
      </c>
      <c r="D90" s="1">
        <v>100</v>
      </c>
      <c r="E90" t="s">
        <v>140</v>
      </c>
    </row>
  </sheetData>
  <pageMargins left="0.7" right="0.7" top="0.75" bottom="0.75" header="0.3" footer="0.3"/>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04EF5-48B4-473C-8102-0E0F339BC2B9}">
  <dimension ref="A1:F90"/>
  <sheetViews>
    <sheetView workbookViewId="0">
      <pane ySplit="1" topLeftCell="A2" activePane="bottomLeft" state="frozen"/>
      <selection pane="bottomLeft" activeCell="D90" sqref="D90"/>
    </sheetView>
  </sheetViews>
  <sheetFormatPr defaultRowHeight="14.5" x14ac:dyDescent="0.35"/>
  <cols>
    <col min="2" max="2" width="45.6328125" bestFit="1" customWidth="1"/>
    <col min="3" max="3" width="34" bestFit="1" customWidth="1"/>
  </cols>
  <sheetData>
    <row r="1" spans="1:5" x14ac:dyDescent="0.35">
      <c r="A1" s="6" t="s">
        <v>0</v>
      </c>
      <c r="B1" s="6" t="s">
        <v>1</v>
      </c>
      <c r="C1" s="5" t="s">
        <v>139</v>
      </c>
      <c r="D1" s="6" t="s">
        <v>135</v>
      </c>
      <c r="E1" s="5" t="s">
        <v>138</v>
      </c>
    </row>
    <row r="2" spans="1:5" x14ac:dyDescent="0.35">
      <c r="A2" s="1">
        <v>11613</v>
      </c>
      <c r="B2" s="4" t="s">
        <v>2</v>
      </c>
      <c r="C2" s="4" t="s">
        <v>2</v>
      </c>
      <c r="D2" s="1">
        <v>48</v>
      </c>
    </row>
    <row r="3" spans="1:5" x14ac:dyDescent="0.35">
      <c r="A3" s="1">
        <v>12121</v>
      </c>
      <c r="B3" s="4" t="s">
        <v>3</v>
      </c>
      <c r="C3" s="4" t="s">
        <v>3</v>
      </c>
      <c r="D3" s="1">
        <v>0.4</v>
      </c>
    </row>
    <row r="4" spans="1:5" x14ac:dyDescent="0.35">
      <c r="A4" s="1">
        <v>11811</v>
      </c>
      <c r="B4" s="4" t="s">
        <v>4</v>
      </c>
      <c r="C4" s="4" t="s">
        <v>4</v>
      </c>
      <c r="D4" s="1">
        <v>399</v>
      </c>
    </row>
    <row r="5" spans="1:5" x14ac:dyDescent="0.35">
      <c r="A5" s="1">
        <v>11531</v>
      </c>
      <c r="B5" s="4" t="s">
        <v>5</v>
      </c>
      <c r="C5" s="4" t="s">
        <v>5</v>
      </c>
      <c r="D5" s="1">
        <v>900</v>
      </c>
    </row>
    <row r="6" spans="1:5" x14ac:dyDescent="0.35">
      <c r="A6" s="1">
        <v>11441</v>
      </c>
      <c r="B6" s="4" t="s">
        <v>6</v>
      </c>
      <c r="C6" s="4" t="s">
        <v>6</v>
      </c>
      <c r="D6" s="1">
        <v>151</v>
      </c>
    </row>
    <row r="7" spans="1:5" x14ac:dyDescent="0.35">
      <c r="A7" s="1">
        <v>11141</v>
      </c>
      <c r="B7" s="4" t="s">
        <v>7</v>
      </c>
      <c r="C7" s="4" t="s">
        <v>7</v>
      </c>
      <c r="D7" s="1">
        <v>365</v>
      </c>
    </row>
    <row r="8" spans="1:5" x14ac:dyDescent="0.35">
      <c r="A8" s="1">
        <v>11921</v>
      </c>
      <c r="B8" s="4" t="s">
        <v>8</v>
      </c>
      <c r="C8" s="4" t="s">
        <v>8</v>
      </c>
      <c r="D8" s="1">
        <v>0</v>
      </c>
    </row>
    <row r="9" spans="1:5" x14ac:dyDescent="0.35">
      <c r="A9" s="1">
        <v>11612</v>
      </c>
      <c r="B9" s="4" t="s">
        <v>9</v>
      </c>
      <c r="C9" s="4" t="s">
        <v>9</v>
      </c>
      <c r="D9" s="1">
        <v>90.6</v>
      </c>
    </row>
    <row r="10" spans="1:5" x14ac:dyDescent="0.35">
      <c r="A10" s="1">
        <v>11511</v>
      </c>
      <c r="B10" s="4" t="s">
        <v>10</v>
      </c>
      <c r="C10" s="4" t="s">
        <v>10</v>
      </c>
      <c r="D10" s="1">
        <v>725</v>
      </c>
    </row>
    <row r="11" spans="1:5" x14ac:dyDescent="0.35">
      <c r="A11" s="1">
        <v>11211</v>
      </c>
      <c r="B11" s="4" t="s">
        <v>11</v>
      </c>
      <c r="C11" s="4" t="s">
        <v>11</v>
      </c>
      <c r="D11" s="1">
        <v>127</v>
      </c>
    </row>
    <row r="12" spans="1:5" x14ac:dyDescent="0.35">
      <c r="A12" s="1">
        <v>11713</v>
      </c>
      <c r="B12" s="4" t="s">
        <v>12</v>
      </c>
      <c r="C12" s="4" t="s">
        <v>12</v>
      </c>
      <c r="D12" s="1">
        <v>33.299999999999997</v>
      </c>
    </row>
    <row r="13" spans="1:5" x14ac:dyDescent="0.35">
      <c r="A13" s="1">
        <v>11741</v>
      </c>
      <c r="B13" s="4" t="s">
        <v>13</v>
      </c>
      <c r="C13" s="4" t="s">
        <v>13</v>
      </c>
      <c r="D13" s="1">
        <v>77.400000000000006</v>
      </c>
    </row>
    <row r="14" spans="1:5" x14ac:dyDescent="0.35">
      <c r="A14" s="1">
        <v>11171</v>
      </c>
      <c r="B14" s="4" t="s">
        <v>14</v>
      </c>
      <c r="C14" s="4" t="s">
        <v>14</v>
      </c>
      <c r="D14" s="1">
        <v>371</v>
      </c>
    </row>
    <row r="15" spans="1:5" x14ac:dyDescent="0.35">
      <c r="A15" s="1">
        <v>11341</v>
      </c>
      <c r="B15" s="4" t="s">
        <v>15</v>
      </c>
      <c r="C15" s="4" t="s">
        <v>15</v>
      </c>
      <c r="D15" s="1">
        <v>88</v>
      </c>
    </row>
    <row r="16" spans="1:5" x14ac:dyDescent="0.35">
      <c r="A16" s="1">
        <v>11111</v>
      </c>
      <c r="B16" s="4" t="s">
        <v>16</v>
      </c>
      <c r="C16" s="4" t="s">
        <v>16</v>
      </c>
      <c r="D16" s="1">
        <v>344</v>
      </c>
    </row>
    <row r="17" spans="1:4" x14ac:dyDescent="0.35">
      <c r="A17" s="1">
        <v>11742</v>
      </c>
      <c r="B17" s="4" t="s">
        <v>17</v>
      </c>
      <c r="C17" s="4" t="s">
        <v>17</v>
      </c>
      <c r="D17" s="1">
        <v>357</v>
      </c>
    </row>
    <row r="18" spans="1:4" x14ac:dyDescent="0.35">
      <c r="A18" s="1">
        <v>11714</v>
      </c>
      <c r="B18" s="4" t="s">
        <v>18</v>
      </c>
      <c r="C18" s="4" t="s">
        <v>18</v>
      </c>
      <c r="D18" s="1">
        <v>21.9</v>
      </c>
    </row>
    <row r="19" spans="1:4" x14ac:dyDescent="0.35">
      <c r="A19" s="1">
        <v>11861</v>
      </c>
      <c r="B19" s="4" t="s">
        <v>19</v>
      </c>
      <c r="C19" s="4" t="s">
        <v>19</v>
      </c>
      <c r="D19" s="1">
        <v>324</v>
      </c>
    </row>
    <row r="20" spans="1:4" x14ac:dyDescent="0.35">
      <c r="A20" s="1">
        <v>11321</v>
      </c>
      <c r="B20" s="4" t="s">
        <v>20</v>
      </c>
      <c r="C20" s="4" t="s">
        <v>20</v>
      </c>
      <c r="D20" s="1">
        <v>88</v>
      </c>
    </row>
    <row r="21" spans="1:4" x14ac:dyDescent="0.35">
      <c r="A21" s="1">
        <v>12111</v>
      </c>
      <c r="B21" s="4" t="s">
        <v>21</v>
      </c>
      <c r="C21" s="4" t="s">
        <v>21</v>
      </c>
      <c r="D21" s="1">
        <v>6.3</v>
      </c>
    </row>
    <row r="22" spans="1:4" x14ac:dyDescent="0.35">
      <c r="A22" s="1">
        <v>11712</v>
      </c>
      <c r="B22" s="4" t="s">
        <v>22</v>
      </c>
      <c r="C22" s="4" t="s">
        <v>22</v>
      </c>
      <c r="D22" s="1">
        <v>29.5</v>
      </c>
    </row>
    <row r="23" spans="1:4" x14ac:dyDescent="0.35">
      <c r="A23" s="1">
        <v>11471</v>
      </c>
      <c r="B23" s="4" t="s">
        <v>23</v>
      </c>
      <c r="C23" s="4" t="s">
        <v>23</v>
      </c>
      <c r="D23" s="1">
        <v>144</v>
      </c>
    </row>
    <row r="24" spans="1:4" x14ac:dyDescent="0.35">
      <c r="A24" s="1">
        <v>11131</v>
      </c>
      <c r="B24" s="4" t="s">
        <v>24</v>
      </c>
      <c r="C24" s="4" t="s">
        <v>24</v>
      </c>
      <c r="D24" s="1">
        <v>211</v>
      </c>
    </row>
    <row r="25" spans="1:4" x14ac:dyDescent="0.35">
      <c r="A25" s="1">
        <v>12232</v>
      </c>
      <c r="B25" s="4" t="s">
        <v>25</v>
      </c>
      <c r="C25" s="4" t="s">
        <v>92</v>
      </c>
      <c r="D25" s="1">
        <v>44</v>
      </c>
    </row>
    <row r="26" spans="1:4" x14ac:dyDescent="0.35">
      <c r="A26" s="1">
        <v>11621</v>
      </c>
      <c r="B26" s="4" t="s">
        <v>26</v>
      </c>
      <c r="C26" s="4" t="s">
        <v>93</v>
      </c>
      <c r="D26" s="1">
        <v>50</v>
      </c>
    </row>
    <row r="27" spans="1:4" x14ac:dyDescent="0.35">
      <c r="A27" s="1">
        <v>11616</v>
      </c>
      <c r="B27" s="4" t="s">
        <v>27</v>
      </c>
      <c r="C27" s="4" t="s">
        <v>94</v>
      </c>
      <c r="D27" s="1">
        <v>50</v>
      </c>
    </row>
    <row r="28" spans="1:4" x14ac:dyDescent="0.35">
      <c r="A28" s="1">
        <v>11761</v>
      </c>
      <c r="B28" s="4" t="s">
        <v>28</v>
      </c>
      <c r="C28" s="4" t="s">
        <v>95</v>
      </c>
      <c r="D28" s="1">
        <v>32.4</v>
      </c>
    </row>
    <row r="29" spans="1:4" x14ac:dyDescent="0.35">
      <c r="A29" s="1">
        <v>11161</v>
      </c>
      <c r="B29" s="4" t="s">
        <v>29</v>
      </c>
      <c r="C29" s="4" t="s">
        <v>96</v>
      </c>
      <c r="D29" s="1">
        <v>365</v>
      </c>
    </row>
    <row r="30" spans="1:4" x14ac:dyDescent="0.35">
      <c r="A30" s="1">
        <v>12211</v>
      </c>
      <c r="B30" s="4" t="s">
        <v>30</v>
      </c>
      <c r="C30" s="4" t="s">
        <v>97</v>
      </c>
      <c r="D30" s="1">
        <v>0</v>
      </c>
    </row>
    <row r="31" spans="1:4" x14ac:dyDescent="0.35">
      <c r="A31" s="1">
        <v>11721</v>
      </c>
      <c r="B31" s="4" t="s">
        <v>31</v>
      </c>
      <c r="C31" s="4" t="s">
        <v>98</v>
      </c>
      <c r="D31" s="1">
        <v>27.4</v>
      </c>
    </row>
    <row r="32" spans="1:4" x14ac:dyDescent="0.35">
      <c r="A32" s="1">
        <v>11282</v>
      </c>
      <c r="B32" s="8" t="s">
        <v>32</v>
      </c>
      <c r="C32" s="8" t="s">
        <v>99</v>
      </c>
      <c r="D32" s="1">
        <v>137</v>
      </c>
    </row>
    <row r="33" spans="1:6" x14ac:dyDescent="0.35">
      <c r="A33" s="1">
        <v>11851</v>
      </c>
      <c r="B33" s="4" t="s">
        <v>33</v>
      </c>
      <c r="C33" s="4" t="s">
        <v>100</v>
      </c>
      <c r="D33" s="1">
        <v>211</v>
      </c>
    </row>
    <row r="34" spans="1:6" x14ac:dyDescent="0.35">
      <c r="A34" s="1">
        <v>21321</v>
      </c>
      <c r="B34" t="s">
        <v>34</v>
      </c>
      <c r="C34" t="s">
        <v>101</v>
      </c>
      <c r="D34" s="9">
        <f>D86</f>
        <v>43</v>
      </c>
      <c r="E34" t="str">
        <f>"=lager beer"</f>
        <v>=lager beer</v>
      </c>
    </row>
    <row r="35" spans="1:6" x14ac:dyDescent="0.35">
      <c r="A35" s="1">
        <v>11331</v>
      </c>
      <c r="B35" s="4" t="s">
        <v>35</v>
      </c>
      <c r="C35" s="4" t="s">
        <v>102</v>
      </c>
      <c r="D35" s="1">
        <v>88</v>
      </c>
    </row>
    <row r="36" spans="1:6" x14ac:dyDescent="0.35">
      <c r="A36" s="1">
        <v>21331</v>
      </c>
      <c r="B36" t="s">
        <v>36</v>
      </c>
      <c r="C36" t="s">
        <v>101</v>
      </c>
      <c r="D36" s="10" t="s">
        <v>155</v>
      </c>
      <c r="E36" s="5" t="s">
        <v>156</v>
      </c>
    </row>
    <row r="37" spans="1:6" x14ac:dyDescent="0.35">
      <c r="A37" s="1">
        <v>11251</v>
      </c>
      <c r="B37" s="4" t="s">
        <v>37</v>
      </c>
      <c r="C37" s="4" t="s">
        <v>103</v>
      </c>
      <c r="D37" s="1">
        <v>137</v>
      </c>
    </row>
    <row r="38" spans="1:6" x14ac:dyDescent="0.35">
      <c r="A38" s="1">
        <v>11311</v>
      </c>
      <c r="B38" s="4" t="s">
        <v>38</v>
      </c>
      <c r="C38" s="4" t="s">
        <v>104</v>
      </c>
      <c r="D38" s="1">
        <v>88</v>
      </c>
    </row>
    <row r="39" spans="1:6" x14ac:dyDescent="0.35">
      <c r="A39" s="1">
        <v>11351</v>
      </c>
      <c r="B39" t="s">
        <v>39</v>
      </c>
      <c r="C39" t="s">
        <v>105</v>
      </c>
      <c r="D39" s="1">
        <v>148</v>
      </c>
      <c r="E39" s="5" t="s">
        <v>157</v>
      </c>
    </row>
    <row r="40" spans="1:6" x14ac:dyDescent="0.35">
      <c r="A40" s="1">
        <v>11719</v>
      </c>
      <c r="B40" t="s">
        <v>40</v>
      </c>
      <c r="C40" t="s">
        <v>95</v>
      </c>
      <c r="D40" s="9">
        <v>32.4</v>
      </c>
      <c r="E40" t="str">
        <f>C40</f>
        <v>Other edible root vegetables</v>
      </c>
    </row>
    <row r="41" spans="1:6" x14ac:dyDescent="0.35">
      <c r="A41" s="1">
        <v>11732</v>
      </c>
      <c r="B41" t="s">
        <v>41</v>
      </c>
      <c r="C41" t="s">
        <v>95</v>
      </c>
      <c r="D41" s="9">
        <v>32.4</v>
      </c>
      <c r="E41" t="str">
        <f>C41</f>
        <v>Other edible root vegetables</v>
      </c>
    </row>
    <row r="42" spans="1:6" x14ac:dyDescent="0.35">
      <c r="A42" s="1">
        <v>11231</v>
      </c>
      <c r="B42" s="4" t="s">
        <v>42</v>
      </c>
      <c r="C42" s="4" t="s">
        <v>106</v>
      </c>
      <c r="D42" s="1">
        <v>137</v>
      </c>
    </row>
    <row r="43" spans="1:6" x14ac:dyDescent="0.35">
      <c r="A43" s="1">
        <v>11541</v>
      </c>
      <c r="B43" t="s">
        <v>43</v>
      </c>
      <c r="C43" t="s">
        <v>95</v>
      </c>
      <c r="D43" s="9">
        <v>900</v>
      </c>
      <c r="E43" s="5" t="s">
        <v>158</v>
      </c>
    </row>
    <row r="44" spans="1:6" x14ac:dyDescent="0.35">
      <c r="A44" s="1">
        <v>11611</v>
      </c>
      <c r="B44" s="4" t="s">
        <v>44</v>
      </c>
      <c r="C44" s="4" t="s">
        <v>107</v>
      </c>
      <c r="D44" s="1">
        <v>42.7</v>
      </c>
    </row>
    <row r="45" spans="1:6" x14ac:dyDescent="0.35">
      <c r="A45" s="1">
        <v>11272</v>
      </c>
      <c r="B45" s="4" t="s">
        <v>45</v>
      </c>
      <c r="C45" s="4" t="s">
        <v>108</v>
      </c>
      <c r="D45" s="1">
        <v>127</v>
      </c>
    </row>
    <row r="46" spans="1:6" x14ac:dyDescent="0.35">
      <c r="A46" s="1">
        <v>11221</v>
      </c>
      <c r="B46" s="4" t="s">
        <v>46</v>
      </c>
      <c r="C46" s="4" t="s">
        <v>109</v>
      </c>
      <c r="D46" s="1">
        <v>218</v>
      </c>
    </row>
    <row r="47" spans="1:6" x14ac:dyDescent="0.35">
      <c r="A47" s="1">
        <v>12231</v>
      </c>
      <c r="B47" t="s">
        <v>47</v>
      </c>
      <c r="C47" t="s">
        <v>110</v>
      </c>
      <c r="D47" s="9">
        <f>128*(100/237)</f>
        <v>54.008438818565402</v>
      </c>
      <c r="E47" s="5" t="s">
        <v>160</v>
      </c>
      <c r="F47" s="11" t="s">
        <v>159</v>
      </c>
    </row>
    <row r="48" spans="1:6" x14ac:dyDescent="0.35">
      <c r="A48" s="1">
        <v>11821</v>
      </c>
      <c r="B48" s="4" t="s">
        <v>48</v>
      </c>
      <c r="C48" s="4" t="s">
        <v>111</v>
      </c>
      <c r="D48" s="1">
        <v>168</v>
      </c>
    </row>
    <row r="49" spans="1:6" x14ac:dyDescent="0.35">
      <c r="A49" s="1">
        <v>11121</v>
      </c>
      <c r="B49" s="4" t="s">
        <v>49</v>
      </c>
      <c r="C49" s="4" t="s">
        <v>112</v>
      </c>
      <c r="D49" s="1">
        <v>300</v>
      </c>
    </row>
    <row r="50" spans="1:6" x14ac:dyDescent="0.35">
      <c r="A50" s="1">
        <v>11551</v>
      </c>
      <c r="B50" t="s">
        <v>50</v>
      </c>
      <c r="C50" t="s">
        <v>99</v>
      </c>
      <c r="D50" s="9">
        <f>1615/192*100</f>
        <v>841.14583333333337</v>
      </c>
      <c r="E50" s="5" t="s">
        <v>162</v>
      </c>
      <c r="F50" s="11" t="s">
        <v>161</v>
      </c>
    </row>
    <row r="51" spans="1:6" x14ac:dyDescent="0.35">
      <c r="A51" s="1">
        <v>11431</v>
      </c>
      <c r="B51" s="4" t="s">
        <v>51</v>
      </c>
      <c r="C51" s="4" t="s">
        <v>113</v>
      </c>
      <c r="D51" s="1">
        <v>357</v>
      </c>
    </row>
    <row r="52" spans="1:6" x14ac:dyDescent="0.35">
      <c r="A52" s="1">
        <v>11242</v>
      </c>
      <c r="B52" t="s">
        <v>52</v>
      </c>
      <c r="C52" t="s">
        <v>114</v>
      </c>
      <c r="D52" s="9">
        <f>D45</f>
        <v>127</v>
      </c>
      <c r="E52" s="5" t="s">
        <v>108</v>
      </c>
    </row>
    <row r="53" spans="1:6" x14ac:dyDescent="0.35">
      <c r="A53" s="1">
        <v>12221</v>
      </c>
      <c r="B53" s="4" t="s">
        <v>53</v>
      </c>
      <c r="C53" s="4" t="s">
        <v>101</v>
      </c>
      <c r="D53" s="1">
        <v>44</v>
      </c>
    </row>
    <row r="54" spans="1:6" x14ac:dyDescent="0.35">
      <c r="A54" s="1">
        <v>11122</v>
      </c>
      <c r="B54" t="s">
        <v>54</v>
      </c>
      <c r="C54" t="s">
        <v>94</v>
      </c>
      <c r="D54" s="9">
        <f>D49</f>
        <v>300</v>
      </c>
      <c r="E54" t="str">
        <f>"White flour"</f>
        <v>White flour</v>
      </c>
    </row>
    <row r="55" spans="1:6" x14ac:dyDescent="0.35">
      <c r="A55" s="1">
        <v>12131</v>
      </c>
      <c r="B55" s="4" t="s">
        <v>55</v>
      </c>
      <c r="C55" s="4" t="s">
        <v>115</v>
      </c>
      <c r="D55" s="1">
        <v>363</v>
      </c>
    </row>
    <row r="56" spans="1:6" x14ac:dyDescent="0.35">
      <c r="A56" s="1">
        <v>11631</v>
      </c>
      <c r="B56" t="s">
        <v>56</v>
      </c>
      <c r="C56" t="s">
        <v>116</v>
      </c>
      <c r="D56" s="9">
        <v>505</v>
      </c>
    </row>
    <row r="57" spans="1:6" x14ac:dyDescent="0.35">
      <c r="A57" s="1">
        <v>11521</v>
      </c>
      <c r="B57" s="4" t="s">
        <v>57</v>
      </c>
      <c r="C57" s="4" t="s">
        <v>117</v>
      </c>
      <c r="D57" s="1">
        <v>350</v>
      </c>
    </row>
    <row r="58" spans="1:6" x14ac:dyDescent="0.35">
      <c r="A58" s="1">
        <v>21111</v>
      </c>
      <c r="B58" s="4" t="s">
        <v>58</v>
      </c>
      <c r="C58" s="4" t="s">
        <v>118</v>
      </c>
      <c r="D58" s="1">
        <v>227</v>
      </c>
    </row>
    <row r="59" spans="1:6" x14ac:dyDescent="0.35">
      <c r="A59" s="1">
        <v>21221</v>
      </c>
      <c r="B59" t="s">
        <v>59</v>
      </c>
      <c r="C59" t="s">
        <v>94</v>
      </c>
      <c r="D59" s="12">
        <v>77</v>
      </c>
      <c r="E59" t="str">
        <f>"Wine from fruits"</f>
        <v>Wine from fruits</v>
      </c>
    </row>
    <row r="60" spans="1:6" x14ac:dyDescent="0.35">
      <c r="A60" s="1">
        <v>11411</v>
      </c>
      <c r="B60" t="s">
        <v>60</v>
      </c>
      <c r="C60" t="s">
        <v>119</v>
      </c>
      <c r="D60" s="9">
        <f>149/244*100</f>
        <v>61.065573770491795</v>
      </c>
      <c r="E60" s="5" t="s">
        <v>163</v>
      </c>
      <c r="F60" t="s">
        <v>164</v>
      </c>
    </row>
    <row r="61" spans="1:6" x14ac:dyDescent="0.35">
      <c r="A61" s="1">
        <v>11641</v>
      </c>
      <c r="B61" t="s">
        <v>61</v>
      </c>
      <c r="C61" t="s">
        <v>110</v>
      </c>
      <c r="D61" s="9">
        <f>56/20*100</f>
        <v>280</v>
      </c>
      <c r="E61" s="5" t="s">
        <v>166</v>
      </c>
      <c r="F61" s="11" t="s">
        <v>165</v>
      </c>
    </row>
    <row r="62" spans="1:6" x14ac:dyDescent="0.35">
      <c r="A62" s="1">
        <v>11421</v>
      </c>
      <c r="B62" t="s">
        <v>62</v>
      </c>
      <c r="C62" t="s">
        <v>120</v>
      </c>
      <c r="D62" s="9">
        <f>102/244*100</f>
        <v>41.803278688524593</v>
      </c>
      <c r="E62" s="5" t="s">
        <v>168</v>
      </c>
      <c r="F62" t="s">
        <v>167</v>
      </c>
    </row>
    <row r="63" spans="1:6" x14ac:dyDescent="0.35">
      <c r="A63" s="1">
        <v>11123</v>
      </c>
      <c r="B63" t="s">
        <v>63</v>
      </c>
      <c r="C63" t="s">
        <v>121</v>
      </c>
      <c r="D63" s="9">
        <f>840/240*100</f>
        <v>350</v>
      </c>
      <c r="E63" s="5" t="s">
        <v>170</v>
      </c>
      <c r="F63" t="s">
        <v>169</v>
      </c>
    </row>
    <row r="64" spans="1:6" x14ac:dyDescent="0.35">
      <c r="A64" s="1">
        <v>11831</v>
      </c>
      <c r="B64" s="4" t="s">
        <v>64</v>
      </c>
      <c r="C64" s="4" t="s">
        <v>122</v>
      </c>
      <c r="D64" s="1">
        <v>550</v>
      </c>
    </row>
    <row r="65" spans="1:6" x14ac:dyDescent="0.35">
      <c r="A65" s="1">
        <v>11261</v>
      </c>
      <c r="B65" s="5" t="s">
        <v>65</v>
      </c>
      <c r="C65" t="s">
        <v>99</v>
      </c>
      <c r="D65" s="9">
        <v>150</v>
      </c>
      <c r="E65" s="5" t="s">
        <v>171</v>
      </c>
      <c r="F65" t="s">
        <v>172</v>
      </c>
    </row>
    <row r="66" spans="1:6" x14ac:dyDescent="0.35">
      <c r="A66" s="1">
        <v>11822</v>
      </c>
      <c r="B66" t="s">
        <v>66</v>
      </c>
      <c r="C66" t="s">
        <v>123</v>
      </c>
      <c r="D66" s="9">
        <v>325</v>
      </c>
    </row>
    <row r="67" spans="1:6" x14ac:dyDescent="0.35">
      <c r="A67" s="1">
        <v>21241</v>
      </c>
      <c r="B67" t="s">
        <v>67</v>
      </c>
      <c r="C67" t="s">
        <v>123</v>
      </c>
      <c r="D67" s="9">
        <f>D72</f>
        <v>77</v>
      </c>
      <c r="E67" s="5" t="s">
        <v>173</v>
      </c>
    </row>
    <row r="68" spans="1:6" x14ac:dyDescent="0.35">
      <c r="A68" s="1">
        <v>11615</v>
      </c>
      <c r="B68" t="s">
        <v>68</v>
      </c>
      <c r="C68" t="s">
        <v>123</v>
      </c>
      <c r="D68" s="7">
        <v>46</v>
      </c>
      <c r="E68" t="s">
        <v>154</v>
      </c>
    </row>
    <row r="69" spans="1:6" x14ac:dyDescent="0.35">
      <c r="A69" s="1">
        <v>22011</v>
      </c>
      <c r="B69" t="s">
        <v>69</v>
      </c>
      <c r="C69" t="s">
        <v>123</v>
      </c>
      <c r="D69" s="7">
        <v>0</v>
      </c>
    </row>
    <row r="70" spans="1:6" x14ac:dyDescent="0.35">
      <c r="A70" s="1">
        <v>11731</v>
      </c>
      <c r="B70" s="5" t="s">
        <v>70</v>
      </c>
      <c r="C70" t="s">
        <v>123</v>
      </c>
      <c r="D70" s="7">
        <v>22</v>
      </c>
      <c r="E70" t="s">
        <v>153</v>
      </c>
    </row>
    <row r="71" spans="1:6" x14ac:dyDescent="0.35">
      <c r="A71" s="1">
        <v>21341</v>
      </c>
      <c r="B71" t="s">
        <v>71</v>
      </c>
      <c r="C71" t="s">
        <v>123</v>
      </c>
      <c r="D71" s="7">
        <f>D86</f>
        <v>43</v>
      </c>
      <c r="E71" t="str">
        <f>"=lager beer"</f>
        <v>=lager beer</v>
      </c>
    </row>
    <row r="72" spans="1:6" x14ac:dyDescent="0.35">
      <c r="A72" s="1">
        <v>21211</v>
      </c>
      <c r="B72" t="s">
        <v>72</v>
      </c>
      <c r="C72" t="s">
        <v>123</v>
      </c>
      <c r="D72" s="7">
        <v>77</v>
      </c>
      <c r="E72" t="s">
        <v>152</v>
      </c>
    </row>
    <row r="73" spans="1:6" x14ac:dyDescent="0.35">
      <c r="A73" s="1">
        <v>11718</v>
      </c>
      <c r="B73" t="s">
        <v>73</v>
      </c>
      <c r="C73" t="s">
        <v>123</v>
      </c>
      <c r="D73" s="7">
        <v>29.6</v>
      </c>
    </row>
    <row r="74" spans="1:6" x14ac:dyDescent="0.35">
      <c r="A74" s="1">
        <v>11717</v>
      </c>
      <c r="B74" t="s">
        <v>74</v>
      </c>
      <c r="C74" t="s">
        <v>123</v>
      </c>
      <c r="D74" s="7">
        <v>43.1</v>
      </c>
    </row>
    <row r="75" spans="1:6" x14ac:dyDescent="0.35">
      <c r="A75" s="1">
        <v>11241</v>
      </c>
      <c r="B75" t="s">
        <v>75</v>
      </c>
      <c r="C75" t="s">
        <v>123</v>
      </c>
      <c r="D75" s="7">
        <v>174</v>
      </c>
      <c r="E75" t="s">
        <v>151</v>
      </c>
    </row>
    <row r="76" spans="1:6" x14ac:dyDescent="0.35">
      <c r="A76" s="1">
        <v>11614</v>
      </c>
      <c r="B76" t="s">
        <v>76</v>
      </c>
      <c r="C76" t="s">
        <v>123</v>
      </c>
      <c r="D76" s="7">
        <v>49.2</v>
      </c>
    </row>
    <row r="77" spans="1:6" x14ac:dyDescent="0.35">
      <c r="A77" s="1">
        <v>21121</v>
      </c>
      <c r="B77" t="s">
        <v>77</v>
      </c>
      <c r="C77" t="s">
        <v>123</v>
      </c>
      <c r="D77" s="7">
        <v>35</v>
      </c>
      <c r="E77" t="s">
        <v>150</v>
      </c>
    </row>
    <row r="78" spans="1:6" x14ac:dyDescent="0.35">
      <c r="A78" s="1">
        <v>11271</v>
      </c>
      <c r="B78" t="s">
        <v>78</v>
      </c>
      <c r="C78" t="s">
        <v>123</v>
      </c>
      <c r="D78" s="7">
        <v>350</v>
      </c>
      <c r="E78" t="s">
        <v>149</v>
      </c>
    </row>
    <row r="79" spans="1:6" x14ac:dyDescent="0.35">
      <c r="A79" s="1">
        <v>11715</v>
      </c>
      <c r="B79" t="s">
        <v>79</v>
      </c>
      <c r="C79" t="s">
        <v>123</v>
      </c>
      <c r="D79" s="7">
        <f>AVERAGE(17.9,25)</f>
        <v>21.45</v>
      </c>
    </row>
    <row r="80" spans="1:6" x14ac:dyDescent="0.35">
      <c r="A80" s="1">
        <v>11452</v>
      </c>
      <c r="B80" t="s">
        <v>80</v>
      </c>
      <c r="C80" t="s">
        <v>123</v>
      </c>
      <c r="D80" s="7">
        <f>AVERAGE(64.5,83.9,103)</f>
        <v>83.8</v>
      </c>
    </row>
    <row r="81" spans="1:5" x14ac:dyDescent="0.35">
      <c r="A81" s="1">
        <v>11281</v>
      </c>
      <c r="B81" t="s">
        <v>81</v>
      </c>
      <c r="C81" t="s">
        <v>123</v>
      </c>
      <c r="D81" s="7">
        <f>AVERAGE(207,147)</f>
        <v>177</v>
      </c>
      <c r="E81" t="s">
        <v>148</v>
      </c>
    </row>
    <row r="82" spans="1:5" x14ac:dyDescent="0.35">
      <c r="A82" s="1">
        <v>11751</v>
      </c>
      <c r="B82" t="s">
        <v>82</v>
      </c>
      <c r="C82" t="s">
        <v>123</v>
      </c>
      <c r="D82" s="7">
        <f>AVERAGE(479,541)</f>
        <v>510</v>
      </c>
      <c r="E82" t="s">
        <v>147</v>
      </c>
    </row>
    <row r="83" spans="1:5" x14ac:dyDescent="0.35">
      <c r="A83" s="1">
        <v>11451</v>
      </c>
      <c r="B83" t="s">
        <v>83</v>
      </c>
      <c r="C83" t="s">
        <v>123</v>
      </c>
      <c r="D83" s="7">
        <f>AVERAGE(366,436,375,255)</f>
        <v>358</v>
      </c>
      <c r="E83" t="s">
        <v>146</v>
      </c>
    </row>
    <row r="84" spans="1:5" x14ac:dyDescent="0.35">
      <c r="A84" s="1">
        <v>22021</v>
      </c>
      <c r="B84" t="s">
        <v>84</v>
      </c>
      <c r="C84" t="s">
        <v>123</v>
      </c>
      <c r="D84" s="7">
        <v>227</v>
      </c>
      <c r="E84" t="s">
        <v>145</v>
      </c>
    </row>
    <row r="85" spans="1:5" x14ac:dyDescent="0.35">
      <c r="A85" s="1">
        <v>11716</v>
      </c>
      <c r="B85" t="s">
        <v>85</v>
      </c>
      <c r="C85" t="s">
        <v>123</v>
      </c>
      <c r="D85" s="7">
        <v>32.4</v>
      </c>
    </row>
    <row r="86" spans="1:5" x14ac:dyDescent="0.35">
      <c r="A86" s="1">
        <v>21311</v>
      </c>
      <c r="B86" t="s">
        <v>86</v>
      </c>
      <c r="C86" t="s">
        <v>123</v>
      </c>
      <c r="D86" s="7">
        <v>43</v>
      </c>
      <c r="E86" t="s">
        <v>144</v>
      </c>
    </row>
    <row r="87" spans="1:5" x14ac:dyDescent="0.35">
      <c r="A87" s="1">
        <v>21231</v>
      </c>
      <c r="B87" t="s">
        <v>87</v>
      </c>
      <c r="C87" t="s">
        <v>123</v>
      </c>
      <c r="D87" s="7">
        <f>AVERAGE(156,160)</f>
        <v>158</v>
      </c>
      <c r="E87" t="s">
        <v>143</v>
      </c>
    </row>
    <row r="88" spans="1:5" x14ac:dyDescent="0.35">
      <c r="A88" s="1">
        <v>11461</v>
      </c>
      <c r="B88" t="s">
        <v>88</v>
      </c>
      <c r="C88" t="s">
        <v>123</v>
      </c>
      <c r="D88" s="7">
        <f>AVERAGE(345,181,275,326,119,163,263,125)</f>
        <v>224.625</v>
      </c>
      <c r="E88" t="s">
        <v>142</v>
      </c>
    </row>
    <row r="89" spans="1:5" x14ac:dyDescent="0.35">
      <c r="A89" s="1">
        <v>11212</v>
      </c>
      <c r="B89" t="s">
        <v>89</v>
      </c>
      <c r="C89" t="s">
        <v>123</v>
      </c>
      <c r="D89" s="7">
        <f>AVERAGE(131,107,147,187,105)</f>
        <v>135.4</v>
      </c>
      <c r="E89" t="s">
        <v>141</v>
      </c>
    </row>
    <row r="90" spans="1:5" x14ac:dyDescent="0.35">
      <c r="A90" s="1">
        <v>11841</v>
      </c>
      <c r="B90" t="s">
        <v>90</v>
      </c>
      <c r="C90" t="s">
        <v>123</v>
      </c>
      <c r="D90" s="7">
        <f>AVERAGE(348,389)</f>
        <v>368.5</v>
      </c>
      <c r="E90" t="s">
        <v>140</v>
      </c>
    </row>
  </sheetData>
  <hyperlinks>
    <hyperlink ref="F47" r:id="rId1" xr:uid="{5A693A1B-6AD0-4071-99B4-452A444A74C7}"/>
    <hyperlink ref="F50" r:id="rId2" xr:uid="{D01E60D6-E626-4A8F-8AC8-CECF905EEBC5}"/>
    <hyperlink ref="F61" r:id="rId3" xr:uid="{47E15015-9856-4A31-850F-2B8D16A86DDF}"/>
  </hyperlinks>
  <pageMargins left="0.7" right="0.7" top="0.75" bottom="0.75" header="0.3" footer="0.3"/>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0"/>
  <sheetViews>
    <sheetView topLeftCell="A31" workbookViewId="0">
      <selection activeCell="B34" sqref="B34:C34"/>
    </sheetView>
  </sheetViews>
  <sheetFormatPr defaultRowHeight="14.5" x14ac:dyDescent="0.35"/>
  <cols>
    <col min="2" max="2" width="45.6328125" bestFit="1" customWidth="1"/>
    <col min="3" max="3" width="34" bestFit="1" customWidth="1"/>
    <col min="5" max="5" width="9.81640625" bestFit="1" customWidth="1"/>
    <col min="6" max="6" width="7.1796875" bestFit="1" customWidth="1"/>
  </cols>
  <sheetData>
    <row r="1" spans="1:13" x14ac:dyDescent="0.35">
      <c r="A1" t="s">
        <v>0</v>
      </c>
      <c r="B1" t="s">
        <v>1</v>
      </c>
      <c r="C1" t="s">
        <v>91</v>
      </c>
      <c r="D1" t="s">
        <v>124</v>
      </c>
      <c r="E1" t="s">
        <v>125</v>
      </c>
      <c r="F1" t="s">
        <v>126</v>
      </c>
      <c r="G1" t="s">
        <v>127</v>
      </c>
      <c r="H1" t="s">
        <v>128</v>
      </c>
      <c r="I1" t="s">
        <v>129</v>
      </c>
      <c r="J1" t="s">
        <v>130</v>
      </c>
      <c r="K1" t="s">
        <v>135</v>
      </c>
      <c r="L1" t="s">
        <v>136</v>
      </c>
      <c r="M1" t="s">
        <v>137</v>
      </c>
    </row>
    <row r="2" spans="1:13" x14ac:dyDescent="0.35">
      <c r="A2" s="1">
        <v>11613</v>
      </c>
      <c r="B2" s="4" t="s">
        <v>2</v>
      </c>
      <c r="C2" s="4" t="s">
        <v>2</v>
      </c>
      <c r="D2" s="1">
        <v>20488.269153135829</v>
      </c>
      <c r="E2" s="1">
        <v>101759420</v>
      </c>
      <c r="F2" s="1">
        <v>1</v>
      </c>
      <c r="G2" s="2">
        <v>1</v>
      </c>
      <c r="H2" s="1">
        <v>60</v>
      </c>
      <c r="I2" s="1">
        <v>145</v>
      </c>
      <c r="J2" t="s">
        <v>131</v>
      </c>
      <c r="K2" s="1">
        <v>48</v>
      </c>
      <c r="L2" s="1">
        <v>100</v>
      </c>
      <c r="M2" s="1">
        <v>3</v>
      </c>
    </row>
    <row r="3" spans="1:13" x14ac:dyDescent="0.35">
      <c r="A3" s="1">
        <v>12121</v>
      </c>
      <c r="B3" s="4" t="s">
        <v>3</v>
      </c>
      <c r="C3" s="4" t="s">
        <v>3</v>
      </c>
      <c r="D3" s="1">
        <v>20995.706663524732</v>
      </c>
      <c r="E3" s="1">
        <v>4727110</v>
      </c>
      <c r="F3" s="1">
        <v>81</v>
      </c>
      <c r="G3" s="2">
        <v>1</v>
      </c>
      <c r="H3" s="1">
        <v>120</v>
      </c>
      <c r="I3" s="1">
        <v>195</v>
      </c>
      <c r="J3" t="s">
        <v>131</v>
      </c>
      <c r="K3" s="1">
        <v>0.4</v>
      </c>
      <c r="L3" s="1">
        <v>100</v>
      </c>
      <c r="M3" s="1">
        <v>3</v>
      </c>
    </row>
    <row r="4" spans="1:13" x14ac:dyDescent="0.35">
      <c r="A4" s="1">
        <v>11811</v>
      </c>
      <c r="B4" s="4" t="s">
        <v>4</v>
      </c>
      <c r="C4" s="4" t="s">
        <v>4</v>
      </c>
      <c r="D4" s="1">
        <v>17470.484990931116</v>
      </c>
      <c r="E4" s="1">
        <v>82914970</v>
      </c>
      <c r="F4" s="1">
        <v>80</v>
      </c>
      <c r="G4" s="2">
        <v>1</v>
      </c>
      <c r="H4" s="1">
        <v>81</v>
      </c>
      <c r="I4" s="1">
        <v>180</v>
      </c>
      <c r="J4" t="s">
        <v>131</v>
      </c>
      <c r="K4" s="1">
        <v>399</v>
      </c>
      <c r="L4" s="1">
        <v>100</v>
      </c>
      <c r="M4" s="1">
        <v>3</v>
      </c>
    </row>
    <row r="5" spans="1:13" x14ac:dyDescent="0.35">
      <c r="A5" s="1">
        <v>11531</v>
      </c>
      <c r="B5" s="4" t="s">
        <v>5</v>
      </c>
      <c r="C5" s="4" t="s">
        <v>5</v>
      </c>
      <c r="D5" s="1">
        <v>2903.2316371649504</v>
      </c>
      <c r="E5" s="1">
        <v>1518360</v>
      </c>
      <c r="F5" s="1">
        <v>55</v>
      </c>
      <c r="G5" s="2">
        <v>1</v>
      </c>
      <c r="H5" s="1">
        <v>56</v>
      </c>
      <c r="I5" s="1">
        <v>141</v>
      </c>
      <c r="J5" t="s">
        <v>132</v>
      </c>
      <c r="K5" s="1">
        <v>900</v>
      </c>
      <c r="L5" s="1">
        <v>100</v>
      </c>
      <c r="M5" s="1">
        <v>3</v>
      </c>
    </row>
    <row r="6" spans="1:13" x14ac:dyDescent="0.35">
      <c r="A6" s="1">
        <v>11441</v>
      </c>
      <c r="B6" s="4" t="s">
        <v>6</v>
      </c>
      <c r="C6" s="4" t="s">
        <v>6</v>
      </c>
      <c r="D6" s="1">
        <v>33618.217509450391</v>
      </c>
      <c r="E6" s="1">
        <v>51362840</v>
      </c>
      <c r="F6" s="1">
        <v>89</v>
      </c>
      <c r="G6" s="2">
        <v>1</v>
      </c>
      <c r="H6" s="1">
        <v>41</v>
      </c>
      <c r="I6" s="1">
        <v>130</v>
      </c>
      <c r="J6" t="s">
        <v>132</v>
      </c>
      <c r="K6" s="1">
        <v>151</v>
      </c>
      <c r="L6" s="1">
        <v>100</v>
      </c>
      <c r="M6" s="1">
        <v>3</v>
      </c>
    </row>
    <row r="7" spans="1:13" x14ac:dyDescent="0.35">
      <c r="A7" s="1">
        <v>11141</v>
      </c>
      <c r="B7" s="4" t="s">
        <v>7</v>
      </c>
      <c r="C7" s="4" t="s">
        <v>7</v>
      </c>
      <c r="D7" s="1">
        <v>144179.17998116836</v>
      </c>
      <c r="E7" s="1">
        <v>94879920</v>
      </c>
      <c r="F7" s="1">
        <v>59</v>
      </c>
      <c r="G7" s="2">
        <v>1</v>
      </c>
      <c r="H7" s="1">
        <v>9</v>
      </c>
      <c r="I7" s="1">
        <v>216</v>
      </c>
      <c r="J7" t="s">
        <v>131</v>
      </c>
      <c r="K7" s="1">
        <v>365</v>
      </c>
      <c r="L7" s="1">
        <v>100</v>
      </c>
      <c r="M7" s="1">
        <v>3</v>
      </c>
    </row>
    <row r="8" spans="1:13" x14ac:dyDescent="0.35">
      <c r="A8" s="1">
        <v>11921</v>
      </c>
      <c r="B8" s="4" t="s">
        <v>8</v>
      </c>
      <c r="C8" s="4" t="s">
        <v>8</v>
      </c>
      <c r="D8" s="1">
        <v>2024.6825012527406</v>
      </c>
      <c r="E8" s="1">
        <v>15927910</v>
      </c>
      <c r="F8" s="1">
        <v>76</v>
      </c>
      <c r="G8" s="2">
        <v>1</v>
      </c>
      <c r="H8" s="1">
        <v>115</v>
      </c>
      <c r="I8" s="1">
        <v>191</v>
      </c>
      <c r="J8" t="s">
        <v>133</v>
      </c>
      <c r="K8" s="1">
        <v>0</v>
      </c>
      <c r="L8" s="1">
        <v>100</v>
      </c>
      <c r="M8" s="1">
        <v>3</v>
      </c>
    </row>
    <row r="9" spans="1:13" x14ac:dyDescent="0.35">
      <c r="A9" s="1">
        <v>11612</v>
      </c>
      <c r="B9" s="4" t="s">
        <v>9</v>
      </c>
      <c r="C9" s="4" t="s">
        <v>9</v>
      </c>
      <c r="D9" s="1">
        <v>22675.914999606088</v>
      </c>
      <c r="E9" s="1">
        <v>61946040</v>
      </c>
      <c r="F9" s="1">
        <v>3</v>
      </c>
      <c r="G9" s="2">
        <v>1</v>
      </c>
      <c r="H9" s="1">
        <v>70</v>
      </c>
      <c r="I9" s="1">
        <v>155</v>
      </c>
      <c r="J9" t="s">
        <v>131</v>
      </c>
      <c r="K9" s="1">
        <v>90.6</v>
      </c>
      <c r="L9" s="1">
        <v>100</v>
      </c>
      <c r="M9" s="1">
        <v>3</v>
      </c>
    </row>
    <row r="10" spans="1:13" x14ac:dyDescent="0.35">
      <c r="A10" s="1">
        <v>11511</v>
      </c>
      <c r="B10" s="4" t="s">
        <v>10</v>
      </c>
      <c r="C10" s="4" t="s">
        <v>10</v>
      </c>
      <c r="D10" s="1">
        <v>54777.75571225211</v>
      </c>
      <c r="E10" s="1">
        <v>27582080</v>
      </c>
      <c r="F10" s="1">
        <v>10</v>
      </c>
      <c r="G10" s="2">
        <v>1</v>
      </c>
      <c r="H10" s="1">
        <v>53</v>
      </c>
      <c r="I10" s="1">
        <v>139</v>
      </c>
      <c r="J10" t="s">
        <v>131</v>
      </c>
      <c r="K10" s="1">
        <v>725</v>
      </c>
      <c r="L10" s="1">
        <v>100</v>
      </c>
      <c r="M10" s="1">
        <v>3</v>
      </c>
    </row>
    <row r="11" spans="1:13" x14ac:dyDescent="0.35">
      <c r="A11" s="1">
        <v>11211</v>
      </c>
      <c r="B11" s="4" t="s">
        <v>11</v>
      </c>
      <c r="C11" s="4" t="s">
        <v>11</v>
      </c>
      <c r="D11" s="1">
        <v>16484.083318597171</v>
      </c>
      <c r="E11" s="1">
        <v>8456970</v>
      </c>
      <c r="F11" s="1">
        <v>4</v>
      </c>
      <c r="G11" s="2">
        <v>1</v>
      </c>
      <c r="H11" s="1">
        <v>17</v>
      </c>
      <c r="I11" s="1">
        <v>113</v>
      </c>
      <c r="J11" t="s">
        <v>131</v>
      </c>
      <c r="K11" s="1">
        <v>127</v>
      </c>
      <c r="L11" s="1">
        <v>100</v>
      </c>
      <c r="M11" s="1">
        <v>3</v>
      </c>
    </row>
    <row r="12" spans="1:13" x14ac:dyDescent="0.35">
      <c r="A12" s="1">
        <v>11713</v>
      </c>
      <c r="B12" s="4" t="s">
        <v>12</v>
      </c>
      <c r="C12" s="4" t="s">
        <v>12</v>
      </c>
      <c r="D12" s="1">
        <v>6922.4366713920608</v>
      </c>
      <c r="E12" s="1">
        <v>14785110</v>
      </c>
      <c r="F12" s="1">
        <v>13</v>
      </c>
      <c r="G12" s="2">
        <v>1</v>
      </c>
      <c r="H12" s="1">
        <v>95</v>
      </c>
      <c r="I12" s="1">
        <v>163</v>
      </c>
      <c r="J12" t="s">
        <v>131</v>
      </c>
      <c r="K12" s="1">
        <v>33.299999999999997</v>
      </c>
      <c r="L12" s="1">
        <v>100</v>
      </c>
      <c r="M12" s="1">
        <v>3</v>
      </c>
    </row>
    <row r="13" spans="1:13" x14ac:dyDescent="0.35">
      <c r="A13" s="1">
        <v>11741</v>
      </c>
      <c r="B13" s="4" t="s">
        <v>13</v>
      </c>
      <c r="C13" s="4" t="s">
        <v>13</v>
      </c>
      <c r="D13" s="1">
        <v>51184.405713357031</v>
      </c>
      <c r="E13" s="1">
        <v>278848420</v>
      </c>
      <c r="F13" s="1">
        <v>72</v>
      </c>
      <c r="G13" s="2">
        <v>1</v>
      </c>
      <c r="H13" s="1">
        <v>108</v>
      </c>
      <c r="I13" s="1">
        <v>175</v>
      </c>
      <c r="J13" t="s">
        <v>131</v>
      </c>
      <c r="K13" s="1">
        <v>77.400000000000006</v>
      </c>
      <c r="L13" s="1">
        <v>100</v>
      </c>
      <c r="M13" s="1">
        <v>3</v>
      </c>
    </row>
    <row r="14" spans="1:13" x14ac:dyDescent="0.35">
      <c r="A14" s="1">
        <v>11171</v>
      </c>
      <c r="B14" s="4" t="s">
        <v>14</v>
      </c>
      <c r="C14" s="4" t="s">
        <v>14</v>
      </c>
      <c r="D14" s="1">
        <v>13558.330840658396</v>
      </c>
      <c r="E14" s="1">
        <v>14260650</v>
      </c>
      <c r="F14" s="1">
        <v>9</v>
      </c>
      <c r="G14" s="2">
        <v>1</v>
      </c>
      <c r="H14" s="1">
        <v>14</v>
      </c>
      <c r="I14" s="1">
        <v>218</v>
      </c>
      <c r="J14" t="s">
        <v>131</v>
      </c>
      <c r="K14" s="1">
        <v>371</v>
      </c>
      <c r="L14" s="1">
        <v>100</v>
      </c>
      <c r="M14" s="1">
        <v>3</v>
      </c>
    </row>
    <row r="15" spans="1:13" x14ac:dyDescent="0.35">
      <c r="A15" s="1">
        <v>11341</v>
      </c>
      <c r="B15" s="4" t="s">
        <v>15</v>
      </c>
      <c r="C15" s="4" t="s">
        <v>15</v>
      </c>
      <c r="D15" s="1">
        <v>1321.3941552862525</v>
      </c>
      <c r="E15" s="1">
        <v>357610</v>
      </c>
      <c r="F15" s="1">
        <v>38</v>
      </c>
      <c r="G15" s="2">
        <v>1</v>
      </c>
      <c r="H15" s="1">
        <v>33</v>
      </c>
      <c r="I15" s="1">
        <v>221</v>
      </c>
      <c r="J15" t="s">
        <v>131</v>
      </c>
      <c r="K15" s="1">
        <v>88</v>
      </c>
      <c r="L15" s="1">
        <v>100</v>
      </c>
      <c r="M15" s="1">
        <v>3</v>
      </c>
    </row>
    <row r="16" spans="1:13" x14ac:dyDescent="0.35">
      <c r="A16" s="1">
        <v>11111</v>
      </c>
      <c r="B16" s="4" t="s">
        <v>16</v>
      </c>
      <c r="C16" s="4" t="s">
        <v>16</v>
      </c>
      <c r="D16" s="1">
        <v>7478.3899982310832</v>
      </c>
      <c r="E16" s="1">
        <v>14344720</v>
      </c>
      <c r="F16" s="1">
        <v>74</v>
      </c>
      <c r="G16" s="2">
        <v>1</v>
      </c>
      <c r="H16" s="1">
        <v>12</v>
      </c>
      <c r="I16" s="1">
        <v>110</v>
      </c>
      <c r="J16" t="s">
        <v>131</v>
      </c>
      <c r="K16" s="1">
        <v>344</v>
      </c>
      <c r="L16" s="1">
        <v>100</v>
      </c>
      <c r="M16" s="1">
        <v>3</v>
      </c>
    </row>
    <row r="17" spans="1:13" x14ac:dyDescent="0.35">
      <c r="A17" s="1">
        <v>11742</v>
      </c>
      <c r="B17" s="4" t="s">
        <v>17</v>
      </c>
      <c r="C17" s="4" t="s">
        <v>17</v>
      </c>
      <c r="D17" s="1">
        <v>8668.6908247545362</v>
      </c>
      <c r="E17" s="1">
        <v>14440100</v>
      </c>
      <c r="F17" s="1">
        <v>71</v>
      </c>
      <c r="G17" s="2">
        <v>1</v>
      </c>
      <c r="H17" s="1">
        <v>109</v>
      </c>
      <c r="I17" s="1">
        <v>176</v>
      </c>
      <c r="J17" t="s">
        <v>131</v>
      </c>
      <c r="K17" s="1">
        <v>357</v>
      </c>
      <c r="L17" s="1">
        <v>100</v>
      </c>
      <c r="M17" s="1">
        <v>3</v>
      </c>
    </row>
    <row r="18" spans="1:13" x14ac:dyDescent="0.35">
      <c r="A18" s="1">
        <v>11714</v>
      </c>
      <c r="B18" s="4" t="s">
        <v>18</v>
      </c>
      <c r="C18" s="4" t="s">
        <v>18</v>
      </c>
      <c r="D18" s="1">
        <v>45080.149976251647</v>
      </c>
      <c r="E18" s="1">
        <v>78513800</v>
      </c>
      <c r="F18" s="1">
        <v>82</v>
      </c>
      <c r="G18" s="2">
        <v>1</v>
      </c>
      <c r="H18" s="1">
        <v>96</v>
      </c>
      <c r="I18" s="1">
        <v>164</v>
      </c>
      <c r="J18" t="s">
        <v>131</v>
      </c>
      <c r="K18" s="1">
        <v>21.9</v>
      </c>
      <c r="L18" s="1">
        <v>100</v>
      </c>
      <c r="M18" s="1">
        <v>3</v>
      </c>
    </row>
    <row r="19" spans="1:13" x14ac:dyDescent="0.35">
      <c r="A19" s="1">
        <v>11861</v>
      </c>
      <c r="B19" s="4" t="s">
        <v>19</v>
      </c>
      <c r="C19" s="4" t="s">
        <v>19</v>
      </c>
      <c r="D19" s="1">
        <v>262.07833187282085</v>
      </c>
      <c r="E19" s="1">
        <v>79550</v>
      </c>
      <c r="F19" s="1">
        <v>2</v>
      </c>
      <c r="G19" s="2">
        <v>1</v>
      </c>
      <c r="H19" s="1">
        <v>82</v>
      </c>
      <c r="I19" s="1">
        <v>224</v>
      </c>
      <c r="J19" t="s">
        <v>131</v>
      </c>
      <c r="K19" s="1">
        <v>324</v>
      </c>
      <c r="L19" s="1">
        <v>100</v>
      </c>
      <c r="M19" s="1">
        <v>3</v>
      </c>
    </row>
    <row r="20" spans="1:13" x14ac:dyDescent="0.35">
      <c r="A20" s="1">
        <v>11321</v>
      </c>
      <c r="B20" s="4" t="s">
        <v>20</v>
      </c>
      <c r="C20" s="4" t="s">
        <v>20</v>
      </c>
      <c r="D20" s="1">
        <v>15608.894985795021</v>
      </c>
      <c r="E20" s="1">
        <v>9062090</v>
      </c>
      <c r="F20" s="1">
        <v>36</v>
      </c>
      <c r="G20" s="2">
        <v>1</v>
      </c>
      <c r="H20" s="1">
        <v>31</v>
      </c>
      <c r="I20" s="1">
        <v>220</v>
      </c>
      <c r="J20" t="s">
        <v>131</v>
      </c>
      <c r="K20" s="1">
        <v>88</v>
      </c>
      <c r="L20" s="1">
        <v>100</v>
      </c>
      <c r="M20" s="1">
        <v>3</v>
      </c>
    </row>
    <row r="21" spans="1:13" x14ac:dyDescent="0.35">
      <c r="A21" s="1">
        <v>12111</v>
      </c>
      <c r="B21" s="4" t="s">
        <v>21</v>
      </c>
      <c r="C21" s="4" t="s">
        <v>21</v>
      </c>
      <c r="D21" s="1">
        <v>58652.818212170154</v>
      </c>
      <c r="E21" s="1">
        <v>18158300</v>
      </c>
      <c r="F21" s="1">
        <v>22</v>
      </c>
      <c r="G21" s="2">
        <v>1</v>
      </c>
      <c r="H21" s="1">
        <v>119</v>
      </c>
      <c r="I21" s="1">
        <v>194</v>
      </c>
      <c r="J21" t="s">
        <v>131</v>
      </c>
      <c r="K21" s="1">
        <v>6.3</v>
      </c>
      <c r="L21" s="1">
        <v>100</v>
      </c>
      <c r="M21" s="1">
        <v>3</v>
      </c>
    </row>
    <row r="22" spans="1:13" x14ac:dyDescent="0.35">
      <c r="A22" s="1">
        <v>11712</v>
      </c>
      <c r="B22" s="4" t="s">
        <v>22</v>
      </c>
      <c r="C22" s="4" t="s">
        <v>22</v>
      </c>
      <c r="D22" s="1">
        <v>9947.6208289619535</v>
      </c>
      <c r="E22" s="1">
        <v>37581030</v>
      </c>
      <c r="F22" s="1">
        <v>11</v>
      </c>
      <c r="G22" s="2">
        <v>1</v>
      </c>
      <c r="H22" s="1">
        <v>94</v>
      </c>
      <c r="I22" s="1">
        <v>162</v>
      </c>
      <c r="J22" t="s">
        <v>131</v>
      </c>
      <c r="K22" s="1">
        <v>29.5</v>
      </c>
      <c r="L22" s="1">
        <v>100</v>
      </c>
      <c r="M22" s="1">
        <v>3</v>
      </c>
    </row>
    <row r="23" spans="1:13" x14ac:dyDescent="0.35">
      <c r="A23" s="1">
        <v>11471</v>
      </c>
      <c r="B23" s="4" t="s">
        <v>23</v>
      </c>
      <c r="C23" s="4" t="s">
        <v>23</v>
      </c>
      <c r="D23" s="1">
        <v>57922.955710928887</v>
      </c>
      <c r="E23" s="1">
        <v>32888460</v>
      </c>
      <c r="F23" s="1">
        <v>29</v>
      </c>
      <c r="G23" s="2">
        <v>1</v>
      </c>
      <c r="H23" s="1">
        <v>52</v>
      </c>
      <c r="I23" s="1">
        <v>138</v>
      </c>
      <c r="J23" t="s">
        <v>134</v>
      </c>
      <c r="K23" s="1">
        <v>144</v>
      </c>
      <c r="L23" s="1">
        <v>100</v>
      </c>
      <c r="M23" s="1">
        <v>3</v>
      </c>
    </row>
    <row r="24" spans="1:13" x14ac:dyDescent="0.35">
      <c r="A24" s="1">
        <v>11131</v>
      </c>
      <c r="B24" s="4" t="s">
        <v>24</v>
      </c>
      <c r="C24" s="4" t="s">
        <v>24</v>
      </c>
      <c r="D24" s="1">
        <v>153493.35161847062</v>
      </c>
      <c r="E24" s="1">
        <v>296259810</v>
      </c>
      <c r="F24" s="1">
        <v>8</v>
      </c>
      <c r="G24" s="2">
        <v>1</v>
      </c>
      <c r="H24" s="1">
        <v>5</v>
      </c>
      <c r="I24" s="1">
        <v>105</v>
      </c>
      <c r="J24" t="s">
        <v>131</v>
      </c>
      <c r="K24" s="1">
        <v>211</v>
      </c>
      <c r="L24" s="1">
        <v>100</v>
      </c>
      <c r="M24" s="1">
        <v>3</v>
      </c>
    </row>
    <row r="25" spans="1:13" x14ac:dyDescent="0.35">
      <c r="A25" s="1">
        <v>12232</v>
      </c>
      <c r="B25" s="4" t="s">
        <v>25</v>
      </c>
      <c r="C25" s="4" t="s">
        <v>92</v>
      </c>
      <c r="D25" s="1">
        <v>5146.3183455355465</v>
      </c>
      <c r="E25" s="1">
        <v>14715300</v>
      </c>
      <c r="F25" s="1">
        <v>84</v>
      </c>
      <c r="G25" s="2">
        <v>0.99940413236618042</v>
      </c>
      <c r="H25" s="1">
        <v>125</v>
      </c>
      <c r="I25" s="1">
        <v>215</v>
      </c>
      <c r="J25" t="s">
        <v>131</v>
      </c>
      <c r="K25" s="1">
        <v>44</v>
      </c>
      <c r="L25" s="1">
        <v>100</v>
      </c>
      <c r="M25" s="1">
        <v>3</v>
      </c>
    </row>
    <row r="26" spans="1:13" x14ac:dyDescent="0.35">
      <c r="A26" s="1">
        <v>11621</v>
      </c>
      <c r="B26" s="4" t="s">
        <v>26</v>
      </c>
      <c r="C26" s="4" t="s">
        <v>93</v>
      </c>
      <c r="D26" s="1">
        <v>1591.8583295196295</v>
      </c>
      <c r="E26" s="1">
        <v>1240770</v>
      </c>
      <c r="F26" s="1">
        <v>37</v>
      </c>
      <c r="G26" s="2">
        <v>0.99929392337799072</v>
      </c>
      <c r="H26" s="1">
        <v>77</v>
      </c>
      <c r="I26" s="1">
        <v>222</v>
      </c>
      <c r="J26" t="s">
        <v>131</v>
      </c>
      <c r="K26" s="1">
        <v>50</v>
      </c>
      <c r="L26" s="1">
        <v>100</v>
      </c>
      <c r="M26" s="1">
        <v>3</v>
      </c>
    </row>
    <row r="27" spans="1:13" x14ac:dyDescent="0.35">
      <c r="A27" s="1">
        <v>11616</v>
      </c>
      <c r="B27" s="4" t="s">
        <v>27</v>
      </c>
      <c r="C27" s="4" t="s">
        <v>94</v>
      </c>
      <c r="D27" s="1">
        <v>14862.37165847607</v>
      </c>
      <c r="E27" s="1">
        <v>39881370</v>
      </c>
      <c r="F27" s="1">
        <v>62</v>
      </c>
      <c r="G27" s="2">
        <v>0.98021703958511353</v>
      </c>
      <c r="H27" s="1">
        <v>76</v>
      </c>
      <c r="I27" s="1">
        <v>159</v>
      </c>
      <c r="J27" t="s">
        <v>131</v>
      </c>
      <c r="K27" s="1">
        <v>50</v>
      </c>
      <c r="L27" s="1">
        <v>100</v>
      </c>
      <c r="M27" s="1">
        <v>3</v>
      </c>
    </row>
    <row r="28" spans="1:13" x14ac:dyDescent="0.35">
      <c r="A28" s="1">
        <v>11761</v>
      </c>
      <c r="B28" s="4" t="s">
        <v>28</v>
      </c>
      <c r="C28" s="4" t="s">
        <v>95</v>
      </c>
      <c r="D28" s="1">
        <v>441.54333312809467</v>
      </c>
      <c r="E28" s="1">
        <v>639060</v>
      </c>
      <c r="F28" s="1">
        <v>66</v>
      </c>
      <c r="G28" s="2">
        <v>0.97888666391372681</v>
      </c>
      <c r="H28" s="1">
        <v>103</v>
      </c>
      <c r="I28" s="1">
        <v>170</v>
      </c>
      <c r="J28" t="s">
        <v>131</v>
      </c>
      <c r="K28" s="1">
        <v>32.4</v>
      </c>
      <c r="L28" s="1">
        <v>100</v>
      </c>
      <c r="M28" s="1">
        <v>3</v>
      </c>
    </row>
    <row r="29" spans="1:13" x14ac:dyDescent="0.35">
      <c r="A29" s="1">
        <v>11161</v>
      </c>
      <c r="B29" s="4" t="s">
        <v>29</v>
      </c>
      <c r="C29" s="4" t="s">
        <v>96</v>
      </c>
      <c r="D29" s="1">
        <v>23024.145851559937</v>
      </c>
      <c r="E29" s="1">
        <v>38845220</v>
      </c>
      <c r="F29" s="1">
        <v>69</v>
      </c>
      <c r="G29" s="2">
        <v>0.97389030456542969</v>
      </c>
      <c r="H29" s="1">
        <v>8</v>
      </c>
      <c r="I29" s="1">
        <v>108</v>
      </c>
      <c r="J29" t="s">
        <v>131</v>
      </c>
      <c r="K29" s="1">
        <v>365</v>
      </c>
      <c r="L29" s="1">
        <v>100</v>
      </c>
      <c r="M29" s="1">
        <v>3</v>
      </c>
    </row>
    <row r="30" spans="1:13" x14ac:dyDescent="0.35">
      <c r="A30" s="1">
        <v>12211</v>
      </c>
      <c r="B30" s="4" t="s">
        <v>30</v>
      </c>
      <c r="C30" s="4" t="s">
        <v>97</v>
      </c>
      <c r="D30" s="1">
        <v>50657.667501024902</v>
      </c>
      <c r="E30" s="1">
        <v>558839590</v>
      </c>
      <c r="F30" s="1">
        <v>51</v>
      </c>
      <c r="G30" s="2">
        <v>0.97048312425613403</v>
      </c>
      <c r="H30" s="1">
        <v>122</v>
      </c>
      <c r="I30" s="1">
        <v>197</v>
      </c>
      <c r="J30" t="s">
        <v>132</v>
      </c>
      <c r="K30" s="1">
        <v>0</v>
      </c>
      <c r="L30" s="1">
        <v>100</v>
      </c>
      <c r="M30" s="1">
        <v>3</v>
      </c>
    </row>
    <row r="31" spans="1:13" x14ac:dyDescent="0.35">
      <c r="A31" s="1">
        <v>11721</v>
      </c>
      <c r="B31" s="4" t="s">
        <v>31</v>
      </c>
      <c r="C31" s="4" t="s">
        <v>98</v>
      </c>
      <c r="D31" s="1">
        <v>11526.636667143553</v>
      </c>
      <c r="E31" s="1">
        <v>16740570</v>
      </c>
      <c r="F31" s="1">
        <v>39</v>
      </c>
      <c r="G31" s="2">
        <v>0.96952742338180542</v>
      </c>
      <c r="H31" s="1">
        <v>113</v>
      </c>
      <c r="I31" s="1">
        <v>223</v>
      </c>
      <c r="J31" t="s">
        <v>131</v>
      </c>
      <c r="K31" s="1">
        <v>27.4</v>
      </c>
      <c r="L31" s="1">
        <v>100</v>
      </c>
      <c r="M31" s="1">
        <v>3</v>
      </c>
    </row>
    <row r="32" spans="1:13" x14ac:dyDescent="0.35">
      <c r="A32" s="1">
        <v>11282</v>
      </c>
      <c r="B32" s="3" t="s">
        <v>32</v>
      </c>
      <c r="C32" s="3" t="s">
        <v>99</v>
      </c>
      <c r="D32" s="1">
        <v>43737.708318436518</v>
      </c>
      <c r="E32" s="1">
        <v>33065370</v>
      </c>
      <c r="F32" s="1">
        <v>63</v>
      </c>
      <c r="G32" s="2">
        <v>0.96893161535263062</v>
      </c>
      <c r="H32" s="1">
        <v>16</v>
      </c>
      <c r="I32" s="1">
        <v>1122</v>
      </c>
      <c r="J32" t="s">
        <v>131</v>
      </c>
      <c r="K32" s="1">
        <v>315</v>
      </c>
      <c r="L32" s="1">
        <v>100</v>
      </c>
      <c r="M32" s="1">
        <v>3</v>
      </c>
    </row>
    <row r="33" spans="1:13" x14ac:dyDescent="0.35">
      <c r="A33" s="1">
        <v>11851</v>
      </c>
      <c r="B33" s="4" t="s">
        <v>33</v>
      </c>
      <c r="C33" s="4" t="s">
        <v>100</v>
      </c>
      <c r="D33" s="1">
        <v>26009.885798882693</v>
      </c>
      <c r="E33" s="1">
        <v>25464870</v>
      </c>
      <c r="F33" s="1">
        <v>43</v>
      </c>
      <c r="G33" s="2">
        <v>0.96092146635055542</v>
      </c>
      <c r="H33" s="1">
        <v>90</v>
      </c>
      <c r="I33" s="1">
        <v>187</v>
      </c>
      <c r="J33" t="s">
        <v>131</v>
      </c>
      <c r="K33" s="1">
        <v>211</v>
      </c>
      <c r="L33" s="1">
        <v>100</v>
      </c>
      <c r="M33" s="1">
        <v>3</v>
      </c>
    </row>
    <row r="34" spans="1:13" x14ac:dyDescent="0.35">
      <c r="A34" s="1">
        <v>21321</v>
      </c>
      <c r="B34" t="s">
        <v>34</v>
      </c>
      <c r="C34" t="s">
        <v>101</v>
      </c>
      <c r="D34" s="1">
        <v>2223.9824985712767</v>
      </c>
      <c r="E34" s="1">
        <v>3723050</v>
      </c>
      <c r="F34" s="1">
        <v>57</v>
      </c>
      <c r="G34" s="2">
        <v>0.96092146635055542</v>
      </c>
      <c r="H34" s="1">
        <v>124</v>
      </c>
      <c r="I34" s="1">
        <v>1981</v>
      </c>
      <c r="J34" t="s">
        <v>132</v>
      </c>
      <c r="K34" s="1">
        <v>44</v>
      </c>
      <c r="L34" s="1">
        <v>100</v>
      </c>
      <c r="M34" s="1">
        <v>3</v>
      </c>
    </row>
    <row r="35" spans="1:13" x14ac:dyDescent="0.35">
      <c r="A35" s="1">
        <v>11331</v>
      </c>
      <c r="B35" s="4" t="s">
        <v>35</v>
      </c>
      <c r="C35" s="4" t="s">
        <v>102</v>
      </c>
      <c r="D35" s="1">
        <v>670.61583156883717</v>
      </c>
      <c r="E35" s="1">
        <v>190130</v>
      </c>
      <c r="F35" s="1">
        <v>34</v>
      </c>
      <c r="G35" s="2">
        <v>0.94714939594268799</v>
      </c>
      <c r="H35" s="1">
        <v>32</v>
      </c>
      <c r="I35" s="1">
        <v>213</v>
      </c>
      <c r="J35" t="s">
        <v>131</v>
      </c>
      <c r="K35" s="1">
        <v>88</v>
      </c>
      <c r="L35" s="1">
        <v>100</v>
      </c>
      <c r="M35" s="1">
        <v>3</v>
      </c>
    </row>
    <row r="36" spans="1:13" x14ac:dyDescent="0.35">
      <c r="A36" s="1">
        <v>21331</v>
      </c>
      <c r="B36" t="s">
        <v>36</v>
      </c>
      <c r="C36" t="s">
        <v>101</v>
      </c>
      <c r="D36" s="1">
        <v>2437.6066678621573</v>
      </c>
      <c r="E36" s="1">
        <v>4690260</v>
      </c>
      <c r="F36" s="1">
        <v>48</v>
      </c>
      <c r="G36" s="2">
        <v>0.93887156248092651</v>
      </c>
      <c r="H36" s="1">
        <v>124</v>
      </c>
      <c r="I36" s="1">
        <v>1981</v>
      </c>
      <c r="J36" t="s">
        <v>132</v>
      </c>
      <c r="K36" s="1">
        <v>44</v>
      </c>
      <c r="L36" s="1">
        <v>100</v>
      </c>
      <c r="M36" s="1">
        <v>3</v>
      </c>
    </row>
    <row r="37" spans="1:13" x14ac:dyDescent="0.35">
      <c r="A37" s="1">
        <v>11251</v>
      </c>
      <c r="B37" s="4" t="s">
        <v>37</v>
      </c>
      <c r="C37" s="4" t="s">
        <v>103</v>
      </c>
      <c r="D37" s="1">
        <v>1561.2191576659679</v>
      </c>
      <c r="E37" s="1">
        <v>1067450</v>
      </c>
      <c r="F37" s="1">
        <v>64</v>
      </c>
      <c r="G37" s="2">
        <v>0.93809527158737183</v>
      </c>
      <c r="H37" s="1">
        <v>23</v>
      </c>
      <c r="I37" s="1">
        <v>118</v>
      </c>
      <c r="J37" t="s">
        <v>131</v>
      </c>
      <c r="K37" s="1">
        <v>137</v>
      </c>
      <c r="L37" s="1">
        <v>100</v>
      </c>
      <c r="M37" s="1">
        <v>3</v>
      </c>
    </row>
    <row r="38" spans="1:13" x14ac:dyDescent="0.35">
      <c r="A38" s="1">
        <v>11311</v>
      </c>
      <c r="B38" s="4" t="s">
        <v>38</v>
      </c>
      <c r="C38" s="4" t="s">
        <v>104</v>
      </c>
      <c r="D38" s="1">
        <v>17580.730811346322</v>
      </c>
      <c r="E38" s="1">
        <v>8020090</v>
      </c>
      <c r="F38" s="1">
        <v>33</v>
      </c>
      <c r="G38" s="2">
        <v>0.92950022220611572</v>
      </c>
      <c r="H38" s="1">
        <v>30</v>
      </c>
      <c r="I38" s="1">
        <v>123</v>
      </c>
      <c r="J38" t="s">
        <v>131</v>
      </c>
      <c r="K38" s="1">
        <v>88</v>
      </c>
      <c r="L38" s="1">
        <v>100</v>
      </c>
      <c r="M38" s="1">
        <v>3</v>
      </c>
    </row>
    <row r="39" spans="1:13" x14ac:dyDescent="0.35">
      <c r="A39" s="1">
        <v>11351</v>
      </c>
      <c r="B39" t="s">
        <v>39</v>
      </c>
      <c r="C39" t="s">
        <v>105</v>
      </c>
      <c r="D39" s="1">
        <v>18477.074982305989</v>
      </c>
      <c r="E39" s="1">
        <v>9902420</v>
      </c>
      <c r="F39" s="1">
        <v>30</v>
      </c>
      <c r="G39" s="2">
        <v>0.92307776212692261</v>
      </c>
      <c r="H39" s="1">
        <v>22</v>
      </c>
      <c r="I39" s="1">
        <v>219</v>
      </c>
      <c r="J39" t="s">
        <v>131</v>
      </c>
      <c r="K39" s="1">
        <v>200</v>
      </c>
      <c r="L39" s="1">
        <v>100</v>
      </c>
      <c r="M39" s="1">
        <v>3</v>
      </c>
    </row>
    <row r="40" spans="1:13" x14ac:dyDescent="0.35">
      <c r="A40" s="1">
        <v>11719</v>
      </c>
      <c r="B40" t="s">
        <v>40</v>
      </c>
      <c r="C40" t="s">
        <v>95</v>
      </c>
      <c r="D40" s="1">
        <v>64258.513305914588</v>
      </c>
      <c r="E40" s="1">
        <v>89065940</v>
      </c>
      <c r="F40" s="1">
        <v>68</v>
      </c>
      <c r="G40" s="2">
        <v>0.92275559902191162</v>
      </c>
      <c r="H40" s="1">
        <v>103</v>
      </c>
      <c r="I40" s="1">
        <v>170</v>
      </c>
      <c r="J40" t="s">
        <v>131</v>
      </c>
      <c r="K40" s="1">
        <v>32.4</v>
      </c>
      <c r="L40" s="1">
        <v>100</v>
      </c>
      <c r="M40" s="1">
        <v>3</v>
      </c>
    </row>
    <row r="41" spans="1:13" x14ac:dyDescent="0.35">
      <c r="A41" s="1">
        <v>11732</v>
      </c>
      <c r="B41" t="s">
        <v>41</v>
      </c>
      <c r="C41" t="s">
        <v>95</v>
      </c>
      <c r="D41" s="1">
        <v>44850.473336372524</v>
      </c>
      <c r="E41" s="1">
        <v>57875630</v>
      </c>
      <c r="F41" s="1">
        <v>67</v>
      </c>
      <c r="G41" s="2">
        <v>0.90510374307632446</v>
      </c>
      <c r="H41" s="1">
        <v>103</v>
      </c>
      <c r="I41" s="1">
        <v>170</v>
      </c>
      <c r="J41" t="s">
        <v>131</v>
      </c>
      <c r="K41" s="1">
        <v>32.4</v>
      </c>
      <c r="L41" s="1">
        <v>100</v>
      </c>
      <c r="M41" s="1">
        <v>3</v>
      </c>
    </row>
    <row r="42" spans="1:13" x14ac:dyDescent="0.35">
      <c r="A42" s="1">
        <v>11231</v>
      </c>
      <c r="B42" s="4" t="s">
        <v>42</v>
      </c>
      <c r="C42" s="4" t="s">
        <v>106</v>
      </c>
      <c r="D42" s="1">
        <v>278.49333231151104</v>
      </c>
      <c r="E42" s="1">
        <v>150560</v>
      </c>
      <c r="F42" s="1">
        <v>46</v>
      </c>
      <c r="G42" s="2">
        <v>0.90510374307632446</v>
      </c>
      <c r="H42" s="1">
        <v>19</v>
      </c>
      <c r="I42" s="1">
        <v>115</v>
      </c>
      <c r="J42" t="s">
        <v>131</v>
      </c>
      <c r="K42" s="1">
        <v>137</v>
      </c>
      <c r="L42" s="1">
        <v>100</v>
      </c>
      <c r="M42" s="1">
        <v>3</v>
      </c>
    </row>
    <row r="43" spans="1:13" x14ac:dyDescent="0.35">
      <c r="A43" s="1">
        <v>11541</v>
      </c>
      <c r="B43" t="s">
        <v>43</v>
      </c>
      <c r="C43" t="s">
        <v>95</v>
      </c>
      <c r="D43" s="1">
        <v>20037.650025190553</v>
      </c>
      <c r="E43" s="1">
        <v>43242630</v>
      </c>
      <c r="F43" s="1">
        <v>60</v>
      </c>
      <c r="G43" s="2">
        <v>0.89788860082626343</v>
      </c>
      <c r="H43" s="1">
        <v>103</v>
      </c>
      <c r="I43" s="1">
        <v>170</v>
      </c>
      <c r="J43" t="s">
        <v>131</v>
      </c>
      <c r="K43" s="1">
        <v>32.4</v>
      </c>
      <c r="L43" s="1">
        <v>100</v>
      </c>
      <c r="M43" s="1">
        <v>3</v>
      </c>
    </row>
    <row r="44" spans="1:13" x14ac:dyDescent="0.35">
      <c r="A44" s="1">
        <v>11611</v>
      </c>
      <c r="B44" s="4" t="s">
        <v>44</v>
      </c>
      <c r="C44" s="4" t="s">
        <v>107</v>
      </c>
      <c r="D44" s="1">
        <v>30724.499162839609</v>
      </c>
      <c r="E44" s="1">
        <v>70284980</v>
      </c>
      <c r="F44" s="1">
        <v>20</v>
      </c>
      <c r="G44" s="2">
        <v>0.8964422345161438</v>
      </c>
      <c r="H44" s="1">
        <v>73</v>
      </c>
      <c r="I44" s="1">
        <v>158</v>
      </c>
      <c r="J44" t="s">
        <v>131</v>
      </c>
      <c r="K44" s="1">
        <v>42.7</v>
      </c>
      <c r="L44" s="1">
        <v>100</v>
      </c>
      <c r="M44" s="1">
        <v>3</v>
      </c>
    </row>
    <row r="45" spans="1:13" x14ac:dyDescent="0.35">
      <c r="A45" s="1">
        <v>11272</v>
      </c>
      <c r="B45" s="4" t="s">
        <v>45</v>
      </c>
      <c r="C45" s="4" t="s">
        <v>108</v>
      </c>
      <c r="D45" s="1">
        <v>29826.749993549427</v>
      </c>
      <c r="E45" s="1">
        <v>19421140</v>
      </c>
      <c r="F45" s="1">
        <v>73</v>
      </c>
      <c r="G45" s="2">
        <v>0.89064782857894897</v>
      </c>
      <c r="H45" s="1">
        <v>20</v>
      </c>
      <c r="I45" s="1">
        <v>116</v>
      </c>
      <c r="J45" t="s">
        <v>131</v>
      </c>
      <c r="K45" s="1">
        <v>127</v>
      </c>
      <c r="L45" s="1">
        <v>100</v>
      </c>
      <c r="M45" s="1">
        <v>3</v>
      </c>
    </row>
    <row r="46" spans="1:13" x14ac:dyDescent="0.35">
      <c r="A46" s="1">
        <v>11221</v>
      </c>
      <c r="B46" s="4" t="s">
        <v>46</v>
      </c>
      <c r="C46" s="4" t="s">
        <v>109</v>
      </c>
      <c r="D46" s="1">
        <v>138346.9274684228</v>
      </c>
      <c r="E46" s="1">
        <v>122932530</v>
      </c>
      <c r="F46" s="1">
        <v>70</v>
      </c>
      <c r="G46" s="2">
        <v>0.89064782857894897</v>
      </c>
      <c r="H46" s="1">
        <v>18</v>
      </c>
      <c r="I46" s="1">
        <v>114</v>
      </c>
      <c r="J46" t="s">
        <v>131</v>
      </c>
      <c r="K46" s="1">
        <v>218</v>
      </c>
      <c r="L46" s="1">
        <v>100</v>
      </c>
      <c r="M46" s="1">
        <v>3</v>
      </c>
    </row>
    <row r="47" spans="1:13" x14ac:dyDescent="0.35">
      <c r="A47" s="1">
        <v>12231</v>
      </c>
      <c r="B47" t="s">
        <v>47</v>
      </c>
      <c r="C47" t="s">
        <v>110</v>
      </c>
      <c r="D47" s="1">
        <v>22762.549165286124</v>
      </c>
      <c r="E47" s="1">
        <v>81199670</v>
      </c>
      <c r="F47" s="1">
        <v>40</v>
      </c>
      <c r="G47" s="2">
        <v>0.87611454725265503</v>
      </c>
      <c r="H47" s="1">
        <v>83</v>
      </c>
      <c r="I47" s="1">
        <v>181</v>
      </c>
      <c r="J47" t="s">
        <v>131</v>
      </c>
      <c r="K47" s="1">
        <v>130</v>
      </c>
      <c r="L47" s="1">
        <v>100</v>
      </c>
      <c r="M47" s="1">
        <v>3</v>
      </c>
    </row>
    <row r="48" spans="1:13" x14ac:dyDescent="0.35">
      <c r="A48" s="1">
        <v>11821</v>
      </c>
      <c r="B48" s="4" t="s">
        <v>48</v>
      </c>
      <c r="C48" s="4" t="s">
        <v>111</v>
      </c>
      <c r="D48" s="1">
        <v>6572.3116647087736</v>
      </c>
      <c r="E48" s="1">
        <v>6104600</v>
      </c>
      <c r="F48" s="1">
        <v>44</v>
      </c>
      <c r="G48" s="2">
        <v>0.85637819766998291</v>
      </c>
      <c r="H48" s="1">
        <v>84</v>
      </c>
      <c r="I48" s="1">
        <v>182</v>
      </c>
      <c r="J48" t="s">
        <v>131</v>
      </c>
      <c r="K48" s="1">
        <v>168</v>
      </c>
      <c r="L48" s="1">
        <v>100</v>
      </c>
      <c r="M48" s="1">
        <v>3</v>
      </c>
    </row>
    <row r="49" spans="1:13" x14ac:dyDescent="0.35">
      <c r="A49" s="1">
        <v>11121</v>
      </c>
      <c r="B49" s="4" t="s">
        <v>49</v>
      </c>
      <c r="C49" s="4" t="s">
        <v>112</v>
      </c>
      <c r="D49" s="1">
        <v>10776.586667072028</v>
      </c>
      <c r="E49" s="1">
        <v>59020820</v>
      </c>
      <c r="F49" s="1">
        <v>85</v>
      </c>
      <c r="G49" s="2">
        <v>0.82630664110183716</v>
      </c>
      <c r="H49" s="1">
        <v>1</v>
      </c>
      <c r="I49" s="1">
        <v>101</v>
      </c>
      <c r="J49" t="s">
        <v>131</v>
      </c>
      <c r="K49" s="1">
        <v>300</v>
      </c>
      <c r="L49" s="1">
        <v>100</v>
      </c>
      <c r="M49" s="1">
        <v>3</v>
      </c>
    </row>
    <row r="50" spans="1:13" x14ac:dyDescent="0.35">
      <c r="A50" s="1">
        <v>11551</v>
      </c>
      <c r="B50" t="s">
        <v>50</v>
      </c>
      <c r="C50" t="s">
        <v>99</v>
      </c>
      <c r="D50" s="1">
        <v>4881.2091733105481</v>
      </c>
      <c r="E50" s="1">
        <v>7541600</v>
      </c>
      <c r="F50" s="1">
        <v>58</v>
      </c>
      <c r="G50" s="2">
        <v>0.81739985942840576</v>
      </c>
      <c r="H50" s="1">
        <v>16</v>
      </c>
      <c r="I50" s="1">
        <v>1122</v>
      </c>
      <c r="J50" t="s">
        <v>131</v>
      </c>
      <c r="K50" s="1">
        <v>315</v>
      </c>
      <c r="L50" s="1">
        <v>100</v>
      </c>
      <c r="M50" s="1">
        <v>3</v>
      </c>
    </row>
    <row r="51" spans="1:13" x14ac:dyDescent="0.35">
      <c r="A51" s="1">
        <v>11431</v>
      </c>
      <c r="B51" s="4" t="s">
        <v>51</v>
      </c>
      <c r="C51" s="4" t="s">
        <v>113</v>
      </c>
      <c r="D51" s="1">
        <v>2954.1408367529511</v>
      </c>
      <c r="E51" s="1">
        <v>1522050</v>
      </c>
      <c r="F51" s="1">
        <v>23</v>
      </c>
      <c r="G51" s="2">
        <v>0.81739985942840576</v>
      </c>
      <c r="H51" s="1">
        <v>39</v>
      </c>
      <c r="I51" s="1">
        <v>129</v>
      </c>
      <c r="J51" t="s">
        <v>131</v>
      </c>
      <c r="K51" s="1">
        <v>357</v>
      </c>
      <c r="L51" s="1">
        <v>100</v>
      </c>
      <c r="M51" s="1">
        <v>3</v>
      </c>
    </row>
    <row r="52" spans="1:13" x14ac:dyDescent="0.35">
      <c r="A52" s="1">
        <v>11242</v>
      </c>
      <c r="B52" t="s">
        <v>52</v>
      </c>
      <c r="C52" t="s">
        <v>114</v>
      </c>
      <c r="D52" s="1">
        <v>22943.007485412061</v>
      </c>
      <c r="E52" s="1">
        <v>21433380</v>
      </c>
      <c r="F52" s="1">
        <v>65</v>
      </c>
      <c r="G52" s="2">
        <v>0.81099539995193481</v>
      </c>
      <c r="H52" s="1">
        <v>92</v>
      </c>
      <c r="I52" s="1">
        <v>189</v>
      </c>
      <c r="J52" t="s">
        <v>131</v>
      </c>
      <c r="K52" s="1">
        <v>211</v>
      </c>
      <c r="L52" s="1">
        <v>100</v>
      </c>
      <c r="M52" s="1">
        <v>3</v>
      </c>
    </row>
    <row r="53" spans="1:13" x14ac:dyDescent="0.35">
      <c r="A53" s="1">
        <v>12221</v>
      </c>
      <c r="B53" s="4" t="s">
        <v>53</v>
      </c>
      <c r="C53" s="4" t="s">
        <v>101</v>
      </c>
      <c r="D53" s="1">
        <v>64521.085007559508</v>
      </c>
      <c r="E53" s="1">
        <v>363645320</v>
      </c>
      <c r="F53" s="1">
        <v>53</v>
      </c>
      <c r="G53" s="2">
        <v>0.80362069606781006</v>
      </c>
      <c r="H53" s="1">
        <v>124</v>
      </c>
      <c r="I53" s="1">
        <v>1981</v>
      </c>
      <c r="J53" t="s">
        <v>132</v>
      </c>
      <c r="K53" s="1">
        <v>44</v>
      </c>
      <c r="L53" s="1">
        <v>100</v>
      </c>
      <c r="M53" s="1">
        <v>3</v>
      </c>
    </row>
    <row r="54" spans="1:13" x14ac:dyDescent="0.35">
      <c r="A54" s="1">
        <v>11122</v>
      </c>
      <c r="B54" t="s">
        <v>54</v>
      </c>
      <c r="C54" t="s">
        <v>94</v>
      </c>
      <c r="D54" s="1">
        <v>690.45166526734829</v>
      </c>
      <c r="E54" s="1">
        <v>1956180</v>
      </c>
      <c r="F54" s="1">
        <v>61</v>
      </c>
      <c r="G54" s="2">
        <v>0.80238491296768188</v>
      </c>
      <c r="H54" s="1">
        <v>76</v>
      </c>
      <c r="I54" s="1">
        <v>159</v>
      </c>
      <c r="J54" t="s">
        <v>131</v>
      </c>
      <c r="K54" s="1">
        <v>50</v>
      </c>
      <c r="L54" s="1">
        <v>100</v>
      </c>
      <c r="M54" s="1">
        <v>3</v>
      </c>
    </row>
    <row r="55" spans="1:13" x14ac:dyDescent="0.35">
      <c r="A55" s="1">
        <v>12131</v>
      </c>
      <c r="B55" s="4" t="s">
        <v>55</v>
      </c>
      <c r="C55" s="4" t="s">
        <v>115</v>
      </c>
      <c r="D55" s="1">
        <v>2070.6858373880386</v>
      </c>
      <c r="E55" s="1">
        <v>1089570</v>
      </c>
      <c r="F55" s="1">
        <v>21</v>
      </c>
      <c r="G55" s="2">
        <v>0.78704982995986938</v>
      </c>
      <c r="H55" s="1">
        <v>121</v>
      </c>
      <c r="I55" s="1">
        <v>196</v>
      </c>
      <c r="J55" t="s">
        <v>131</v>
      </c>
      <c r="K55" s="1">
        <v>363</v>
      </c>
      <c r="L55" s="1">
        <v>100</v>
      </c>
      <c r="M55" s="1">
        <v>3</v>
      </c>
    </row>
    <row r="56" spans="1:13" x14ac:dyDescent="0.35">
      <c r="A56" s="1">
        <v>11631</v>
      </c>
      <c r="B56" t="s">
        <v>56</v>
      </c>
      <c r="C56" t="s">
        <v>116</v>
      </c>
      <c r="D56" s="1">
        <v>21459.934971278301</v>
      </c>
      <c r="E56" s="1">
        <v>10603630</v>
      </c>
      <c r="F56" s="1">
        <v>28</v>
      </c>
      <c r="G56" s="2">
        <v>0.77121859788894653</v>
      </c>
      <c r="H56" s="1">
        <v>80</v>
      </c>
      <c r="I56" s="1">
        <v>214</v>
      </c>
      <c r="J56" t="s">
        <v>131</v>
      </c>
      <c r="K56" s="1">
        <v>42.6</v>
      </c>
      <c r="L56" s="1">
        <v>100</v>
      </c>
      <c r="M56" s="1">
        <v>3</v>
      </c>
    </row>
    <row r="57" spans="1:13" x14ac:dyDescent="0.35">
      <c r="A57" s="1">
        <v>11521</v>
      </c>
      <c r="B57" s="4" t="s">
        <v>57</v>
      </c>
      <c r="C57" s="4" t="s">
        <v>117</v>
      </c>
      <c r="D57" s="1">
        <v>21323.305848145625</v>
      </c>
      <c r="E57" s="1">
        <v>28801110</v>
      </c>
      <c r="F57" s="1">
        <v>49</v>
      </c>
      <c r="G57" s="2">
        <v>0.75886386632919312</v>
      </c>
      <c r="H57" s="1">
        <v>54</v>
      </c>
      <c r="I57" s="1">
        <v>140</v>
      </c>
      <c r="J57" t="s">
        <v>131</v>
      </c>
      <c r="K57" s="1">
        <v>350</v>
      </c>
      <c r="L57" s="1">
        <v>100</v>
      </c>
      <c r="M57" s="1">
        <v>3</v>
      </c>
    </row>
    <row r="58" spans="1:13" x14ac:dyDescent="0.35">
      <c r="A58" s="1">
        <v>21111</v>
      </c>
      <c r="B58" s="4" t="s">
        <v>58</v>
      </c>
      <c r="C58" s="4" t="s">
        <v>118</v>
      </c>
      <c r="D58" s="1">
        <v>59540.929065078497</v>
      </c>
      <c r="E58" s="1">
        <v>14508430</v>
      </c>
      <c r="F58" s="1">
        <v>78</v>
      </c>
      <c r="G58" s="2">
        <v>0.75886386632919312</v>
      </c>
      <c r="H58" s="1">
        <v>128</v>
      </c>
      <c r="I58" s="1">
        <v>201</v>
      </c>
      <c r="J58" t="s">
        <v>132</v>
      </c>
      <c r="K58" s="1">
        <v>227</v>
      </c>
      <c r="L58" s="1">
        <v>100</v>
      </c>
      <c r="M58" s="1">
        <v>3</v>
      </c>
    </row>
    <row r="59" spans="1:13" x14ac:dyDescent="0.35">
      <c r="A59" s="1">
        <v>21221</v>
      </c>
      <c r="B59" t="s">
        <v>59</v>
      </c>
      <c r="C59" t="s">
        <v>94</v>
      </c>
      <c r="D59" s="1">
        <v>3182.3699851483107</v>
      </c>
      <c r="E59" s="1">
        <v>2105490</v>
      </c>
      <c r="F59" s="1">
        <v>88</v>
      </c>
      <c r="G59" s="2">
        <v>0.75306451320648193</v>
      </c>
      <c r="H59" s="1">
        <v>76</v>
      </c>
      <c r="I59" s="1">
        <v>159</v>
      </c>
      <c r="J59" t="s">
        <v>131</v>
      </c>
      <c r="K59" s="1">
        <v>50</v>
      </c>
      <c r="L59" s="1">
        <v>100</v>
      </c>
      <c r="M59" s="1">
        <v>3</v>
      </c>
    </row>
    <row r="60" spans="1:13" x14ac:dyDescent="0.35">
      <c r="A60" s="1">
        <v>11411</v>
      </c>
      <c r="B60" t="s">
        <v>60</v>
      </c>
      <c r="C60" t="s">
        <v>119</v>
      </c>
      <c r="D60" s="1">
        <v>36271.44083596766</v>
      </c>
      <c r="E60" s="1">
        <v>189559940</v>
      </c>
      <c r="F60" s="1">
        <v>35</v>
      </c>
      <c r="G60" s="2">
        <v>0.75117999315261841</v>
      </c>
      <c r="H60" s="1">
        <v>93</v>
      </c>
      <c r="I60" s="1">
        <v>161</v>
      </c>
      <c r="J60" t="s">
        <v>131</v>
      </c>
      <c r="K60" s="1">
        <v>33.299999999999997</v>
      </c>
      <c r="L60" s="1">
        <v>100</v>
      </c>
      <c r="M60" s="1">
        <v>3</v>
      </c>
    </row>
    <row r="61" spans="1:13" x14ac:dyDescent="0.35">
      <c r="A61" s="1">
        <v>11641</v>
      </c>
      <c r="B61" t="s">
        <v>61</v>
      </c>
      <c r="C61" t="s">
        <v>110</v>
      </c>
      <c r="D61" s="1">
        <v>8390.8599946573377</v>
      </c>
      <c r="E61" s="1">
        <v>7927740</v>
      </c>
      <c r="F61" s="1">
        <v>41</v>
      </c>
      <c r="G61" s="2">
        <v>0.75117999315261841</v>
      </c>
      <c r="H61" s="1">
        <v>83</v>
      </c>
      <c r="I61" s="1">
        <v>181</v>
      </c>
      <c r="J61" t="s">
        <v>131</v>
      </c>
      <c r="K61" s="1">
        <v>130</v>
      </c>
      <c r="L61" s="1">
        <v>100</v>
      </c>
      <c r="M61" s="1">
        <v>3</v>
      </c>
    </row>
    <row r="62" spans="1:13" x14ac:dyDescent="0.35">
      <c r="A62" s="1">
        <v>11421</v>
      </c>
      <c r="B62" t="s">
        <v>62</v>
      </c>
      <c r="C62" t="s">
        <v>120</v>
      </c>
      <c r="D62" s="1">
        <v>17190.709996894002</v>
      </c>
      <c r="E62" s="1">
        <v>91796280</v>
      </c>
      <c r="F62" s="1">
        <v>32</v>
      </c>
      <c r="G62" s="2">
        <v>0.7368360161781311</v>
      </c>
      <c r="H62" s="1">
        <v>45</v>
      </c>
      <c r="I62" s="1">
        <v>134</v>
      </c>
      <c r="J62" t="s">
        <v>131</v>
      </c>
      <c r="K62" s="1">
        <v>220</v>
      </c>
      <c r="L62" s="1">
        <v>100</v>
      </c>
      <c r="M62" s="1">
        <v>3</v>
      </c>
    </row>
    <row r="63" spans="1:13" x14ac:dyDescent="0.35">
      <c r="A63" s="1">
        <v>11123</v>
      </c>
      <c r="B63" t="s">
        <v>63</v>
      </c>
      <c r="C63" t="s">
        <v>121</v>
      </c>
      <c r="D63" s="1">
        <v>4910.3750021494925</v>
      </c>
      <c r="E63" s="1">
        <v>11675420</v>
      </c>
      <c r="F63" s="1">
        <v>14</v>
      </c>
      <c r="G63" s="2">
        <v>0.7036978006362915</v>
      </c>
      <c r="H63" s="1">
        <v>15</v>
      </c>
      <c r="I63" s="1">
        <v>1121</v>
      </c>
      <c r="J63" t="s">
        <v>131</v>
      </c>
      <c r="K63" s="1">
        <v>315</v>
      </c>
      <c r="L63" s="1">
        <v>100</v>
      </c>
      <c r="M63" s="1">
        <v>3</v>
      </c>
    </row>
    <row r="64" spans="1:13" x14ac:dyDescent="0.35">
      <c r="A64" s="1">
        <v>11831</v>
      </c>
      <c r="B64" s="4" t="s">
        <v>64</v>
      </c>
      <c r="C64" s="4" t="s">
        <v>122</v>
      </c>
      <c r="D64" s="1">
        <v>51523.515827213065</v>
      </c>
      <c r="E64" s="1">
        <v>19227630</v>
      </c>
      <c r="F64" s="1">
        <v>17</v>
      </c>
      <c r="G64" s="2">
        <v>0.67961359024047852</v>
      </c>
      <c r="H64" s="1">
        <v>88</v>
      </c>
      <c r="I64" s="1">
        <v>185</v>
      </c>
      <c r="J64" t="s">
        <v>131</v>
      </c>
      <c r="K64" s="1">
        <v>550</v>
      </c>
      <c r="L64" s="1">
        <v>100</v>
      </c>
      <c r="M64" s="1">
        <v>3</v>
      </c>
    </row>
    <row r="65" spans="1:13" x14ac:dyDescent="0.35">
      <c r="A65" s="1">
        <v>11261</v>
      </c>
      <c r="B65" t="s">
        <v>65</v>
      </c>
      <c r="C65" t="s">
        <v>99</v>
      </c>
      <c r="D65" s="1">
        <v>22834.731659129262</v>
      </c>
      <c r="E65" s="1">
        <v>25294850</v>
      </c>
      <c r="F65" s="1">
        <v>54</v>
      </c>
      <c r="G65" s="2">
        <v>0.63175058364868164</v>
      </c>
      <c r="H65" s="1">
        <v>16</v>
      </c>
      <c r="I65" s="1">
        <v>1122</v>
      </c>
      <c r="J65" t="s">
        <v>131</v>
      </c>
      <c r="K65" s="1">
        <v>315</v>
      </c>
      <c r="L65" s="1">
        <v>100</v>
      </c>
      <c r="M65" s="1">
        <v>3</v>
      </c>
    </row>
    <row r="66" spans="1:13" x14ac:dyDescent="0.35">
      <c r="A66" s="1">
        <v>11822</v>
      </c>
      <c r="B66" t="s">
        <v>66</v>
      </c>
      <c r="C66" t="s">
        <v>123</v>
      </c>
      <c r="D66" s="1">
        <v>7034.295816630125</v>
      </c>
      <c r="E66" s="1">
        <v>3327620</v>
      </c>
      <c r="F66" s="1">
        <v>42</v>
      </c>
      <c r="G66" s="1"/>
      <c r="H66" s="1"/>
      <c r="I66" s="1"/>
      <c r="J66" t="s">
        <v>123</v>
      </c>
      <c r="K66" s="1"/>
      <c r="L66" s="1"/>
      <c r="M66" s="1">
        <v>1</v>
      </c>
    </row>
    <row r="67" spans="1:13" x14ac:dyDescent="0.35">
      <c r="A67" s="1">
        <v>21241</v>
      </c>
      <c r="B67" t="s">
        <v>67</v>
      </c>
      <c r="C67" t="s">
        <v>123</v>
      </c>
      <c r="D67" s="1">
        <v>115.50499886274338</v>
      </c>
      <c r="E67" s="1">
        <v>69750</v>
      </c>
      <c r="F67" s="1">
        <v>86</v>
      </c>
      <c r="G67" s="1"/>
      <c r="H67" s="1"/>
      <c r="I67" s="1"/>
      <c r="J67" t="s">
        <v>123</v>
      </c>
      <c r="K67" s="1"/>
      <c r="L67" s="1"/>
      <c r="M67" s="1">
        <v>1</v>
      </c>
    </row>
    <row r="68" spans="1:13" x14ac:dyDescent="0.35">
      <c r="A68" s="1">
        <v>11615</v>
      </c>
      <c r="B68" t="s">
        <v>68</v>
      </c>
      <c r="C68" t="s">
        <v>123</v>
      </c>
      <c r="D68" s="1">
        <v>21138.384995346889</v>
      </c>
      <c r="E68" s="1">
        <v>38705400</v>
      </c>
      <c r="F68" s="1">
        <v>79</v>
      </c>
      <c r="G68" s="1"/>
      <c r="H68" s="1"/>
      <c r="I68" s="1"/>
      <c r="J68" t="s">
        <v>123</v>
      </c>
      <c r="K68" s="1"/>
      <c r="L68" s="1"/>
      <c r="M68" s="1">
        <v>1</v>
      </c>
    </row>
    <row r="69" spans="1:13" x14ac:dyDescent="0.35">
      <c r="A69" s="1">
        <v>22011</v>
      </c>
      <c r="B69" t="s">
        <v>69</v>
      </c>
      <c r="C69" t="s">
        <v>123</v>
      </c>
      <c r="D69" s="1">
        <v>107931.01321083307</v>
      </c>
      <c r="E69" s="1">
        <v>56817120</v>
      </c>
      <c r="F69" s="1">
        <v>18</v>
      </c>
      <c r="G69" s="1"/>
      <c r="H69" s="1"/>
      <c r="I69" s="1"/>
      <c r="J69" t="s">
        <v>123</v>
      </c>
      <c r="K69" s="1"/>
      <c r="L69" s="1"/>
      <c r="M69" s="1">
        <v>1</v>
      </c>
    </row>
    <row r="70" spans="1:13" x14ac:dyDescent="0.35">
      <c r="A70" s="1">
        <v>11731</v>
      </c>
      <c r="B70" t="s">
        <v>70</v>
      </c>
      <c r="C70" t="s">
        <v>123</v>
      </c>
      <c r="D70" s="1">
        <v>6123.609993673861</v>
      </c>
      <c r="E70" s="1">
        <v>15939120</v>
      </c>
      <c r="F70" s="1">
        <v>77</v>
      </c>
      <c r="G70" s="1"/>
      <c r="H70" s="1"/>
      <c r="I70" s="1"/>
      <c r="J70" t="s">
        <v>123</v>
      </c>
      <c r="K70" s="1"/>
      <c r="L70" s="1"/>
      <c r="M70" s="1">
        <v>1</v>
      </c>
    </row>
    <row r="71" spans="1:13" x14ac:dyDescent="0.35">
      <c r="A71" s="1">
        <v>21341</v>
      </c>
      <c r="B71" t="s">
        <v>71</v>
      </c>
      <c r="C71" t="s">
        <v>123</v>
      </c>
      <c r="D71" s="1">
        <v>2089.5241651021643</v>
      </c>
      <c r="E71" s="1">
        <v>3802540</v>
      </c>
      <c r="F71" s="1">
        <v>5</v>
      </c>
      <c r="G71" s="1"/>
      <c r="H71" s="1"/>
      <c r="I71" s="1"/>
      <c r="J71" t="s">
        <v>123</v>
      </c>
      <c r="K71" s="1"/>
      <c r="L71" s="1"/>
      <c r="M71" s="1">
        <v>1</v>
      </c>
    </row>
    <row r="72" spans="1:13" x14ac:dyDescent="0.35">
      <c r="A72" s="1">
        <v>21211</v>
      </c>
      <c r="B72" t="s">
        <v>72</v>
      </c>
      <c r="C72" t="s">
        <v>123</v>
      </c>
      <c r="D72" s="1">
        <v>19609.553270250559</v>
      </c>
      <c r="E72" s="1">
        <v>10722310</v>
      </c>
      <c r="F72" s="1">
        <v>87</v>
      </c>
      <c r="G72" s="1"/>
      <c r="H72" s="1"/>
      <c r="I72" s="1"/>
      <c r="J72" t="s">
        <v>123</v>
      </c>
      <c r="K72" s="1"/>
      <c r="L72" s="1"/>
      <c r="M72" s="1">
        <v>1</v>
      </c>
    </row>
    <row r="73" spans="1:13" x14ac:dyDescent="0.35">
      <c r="A73" s="1">
        <v>11718</v>
      </c>
      <c r="B73" t="s">
        <v>73</v>
      </c>
      <c r="C73" t="s">
        <v>123</v>
      </c>
      <c r="D73" s="1">
        <v>12677.959161251318</v>
      </c>
      <c r="E73" s="1">
        <v>42563530</v>
      </c>
      <c r="F73" s="1">
        <v>56</v>
      </c>
      <c r="G73" s="1"/>
      <c r="H73" s="1"/>
      <c r="I73" s="1"/>
      <c r="J73" t="s">
        <v>123</v>
      </c>
      <c r="K73" s="1"/>
      <c r="L73" s="1"/>
      <c r="M73" s="1">
        <v>1</v>
      </c>
    </row>
    <row r="74" spans="1:13" x14ac:dyDescent="0.35">
      <c r="A74" s="1">
        <v>11717</v>
      </c>
      <c r="B74" t="s">
        <v>74</v>
      </c>
      <c r="C74" t="s">
        <v>123</v>
      </c>
      <c r="D74" s="1">
        <v>3071.9983315364225</v>
      </c>
      <c r="E74" s="1">
        <v>16579360</v>
      </c>
      <c r="F74" s="1">
        <v>6</v>
      </c>
      <c r="G74" s="1"/>
      <c r="H74" s="1"/>
      <c r="I74" s="1"/>
      <c r="J74" t="s">
        <v>123</v>
      </c>
      <c r="K74" s="1"/>
      <c r="L74" s="1"/>
      <c r="M74" s="1">
        <v>1</v>
      </c>
    </row>
    <row r="75" spans="1:13" x14ac:dyDescent="0.35">
      <c r="A75" s="1">
        <v>11241</v>
      </c>
      <c r="B75" t="s">
        <v>75</v>
      </c>
      <c r="C75" t="s">
        <v>123</v>
      </c>
      <c r="D75" s="1">
        <v>90365.099152931944</v>
      </c>
      <c r="E75" s="1">
        <v>132268110</v>
      </c>
      <c r="F75" s="1">
        <v>15</v>
      </c>
      <c r="G75" s="1"/>
      <c r="H75" s="1"/>
      <c r="I75" s="1"/>
      <c r="J75" t="s">
        <v>123</v>
      </c>
      <c r="K75" s="1"/>
      <c r="L75" s="1"/>
      <c r="M75" s="1">
        <v>1</v>
      </c>
    </row>
    <row r="76" spans="1:13" x14ac:dyDescent="0.35">
      <c r="A76" s="1">
        <v>11614</v>
      </c>
      <c r="B76" t="s">
        <v>76</v>
      </c>
      <c r="C76" t="s">
        <v>123</v>
      </c>
      <c r="D76" s="1">
        <v>33136.105810932815</v>
      </c>
      <c r="E76" s="1">
        <v>40401980</v>
      </c>
      <c r="F76" s="1">
        <v>7</v>
      </c>
      <c r="G76" s="1"/>
      <c r="H76" s="1"/>
      <c r="I76" s="1"/>
      <c r="J76" t="s">
        <v>123</v>
      </c>
      <c r="K76" s="1"/>
      <c r="L76" s="1"/>
      <c r="M76" s="1">
        <v>1</v>
      </c>
    </row>
    <row r="77" spans="1:13" x14ac:dyDescent="0.35">
      <c r="A77" s="1">
        <v>21121</v>
      </c>
      <c r="B77" t="s">
        <v>77</v>
      </c>
      <c r="C77" t="s">
        <v>123</v>
      </c>
      <c r="D77" s="1">
        <v>613.75666590034962</v>
      </c>
      <c r="E77" s="1">
        <v>713630</v>
      </c>
      <c r="F77" s="1">
        <v>47</v>
      </c>
      <c r="G77" s="1"/>
      <c r="H77" s="1"/>
      <c r="I77" s="1"/>
      <c r="J77" t="s">
        <v>123</v>
      </c>
      <c r="K77" s="1"/>
      <c r="L77" s="1"/>
      <c r="M77" s="1">
        <v>1</v>
      </c>
    </row>
    <row r="78" spans="1:13" x14ac:dyDescent="0.35">
      <c r="A78" s="1">
        <v>11271</v>
      </c>
      <c r="B78" t="s">
        <v>78</v>
      </c>
      <c r="C78" t="s">
        <v>123</v>
      </c>
      <c r="D78" s="1">
        <v>263968.27242147177</v>
      </c>
      <c r="E78" s="1">
        <v>143573620</v>
      </c>
      <c r="F78" s="1">
        <v>50</v>
      </c>
      <c r="G78" s="1"/>
      <c r="H78" s="1"/>
      <c r="I78" s="1"/>
      <c r="J78" t="s">
        <v>123</v>
      </c>
      <c r="K78" s="1"/>
      <c r="L78" s="1"/>
      <c r="M78" s="1">
        <v>1</v>
      </c>
    </row>
    <row r="79" spans="1:13" x14ac:dyDescent="0.35">
      <c r="A79" s="1">
        <v>11715</v>
      </c>
      <c r="B79" t="s">
        <v>79</v>
      </c>
      <c r="C79" t="s">
        <v>123</v>
      </c>
      <c r="D79" s="1">
        <v>18930.776654672693</v>
      </c>
      <c r="E79" s="1">
        <v>47958780</v>
      </c>
      <c r="F79" s="1">
        <v>27</v>
      </c>
      <c r="G79" s="1"/>
      <c r="H79" s="1"/>
      <c r="I79" s="1"/>
      <c r="J79" t="s">
        <v>123</v>
      </c>
      <c r="K79" s="1"/>
      <c r="L79" s="1"/>
      <c r="M79" s="1">
        <v>1</v>
      </c>
    </row>
    <row r="80" spans="1:13" x14ac:dyDescent="0.35">
      <c r="A80" s="1">
        <v>11452</v>
      </c>
      <c r="B80" t="s">
        <v>80</v>
      </c>
      <c r="C80" t="s">
        <v>123</v>
      </c>
      <c r="D80" s="1">
        <v>50102.078333114157</v>
      </c>
      <c r="E80" s="1">
        <v>45314270</v>
      </c>
      <c r="F80" s="1">
        <v>25</v>
      </c>
      <c r="G80" s="1"/>
      <c r="H80" s="1"/>
      <c r="I80" s="1"/>
      <c r="J80" t="s">
        <v>123</v>
      </c>
      <c r="K80" s="1"/>
      <c r="L80" s="1"/>
      <c r="M80" s="1">
        <v>1</v>
      </c>
    </row>
    <row r="81" spans="1:13" x14ac:dyDescent="0.35">
      <c r="A81" s="1">
        <v>11281</v>
      </c>
      <c r="B81" t="s">
        <v>81</v>
      </c>
      <c r="C81" t="s">
        <v>123</v>
      </c>
      <c r="D81" s="1">
        <v>3386.0516645312309</v>
      </c>
      <c r="E81" s="1">
        <v>3044910</v>
      </c>
      <c r="F81" s="1">
        <v>52</v>
      </c>
      <c r="G81" s="1"/>
      <c r="H81" s="1"/>
      <c r="I81" s="1"/>
      <c r="J81" t="s">
        <v>123</v>
      </c>
      <c r="K81" s="1"/>
      <c r="L81" s="1"/>
      <c r="M81" s="1">
        <v>1</v>
      </c>
    </row>
    <row r="82" spans="1:13" x14ac:dyDescent="0.35">
      <c r="A82" s="1">
        <v>11751</v>
      </c>
      <c r="B82" t="s">
        <v>82</v>
      </c>
      <c r="C82" t="s">
        <v>123</v>
      </c>
      <c r="D82" s="1">
        <v>17174.575828224421</v>
      </c>
      <c r="E82" s="1">
        <v>8953320</v>
      </c>
      <c r="F82" s="1">
        <v>16</v>
      </c>
      <c r="G82" s="1"/>
      <c r="H82" s="1"/>
      <c r="I82" s="1"/>
      <c r="J82" t="s">
        <v>123</v>
      </c>
      <c r="K82" s="1"/>
      <c r="L82" s="1"/>
      <c r="M82" s="1">
        <v>1</v>
      </c>
    </row>
    <row r="83" spans="1:13" x14ac:dyDescent="0.35">
      <c r="A83" s="1">
        <v>11451</v>
      </c>
      <c r="B83" t="s">
        <v>83</v>
      </c>
      <c r="C83" t="s">
        <v>123</v>
      </c>
      <c r="D83" s="1">
        <v>75671.845010096207</v>
      </c>
      <c r="E83" s="1">
        <v>41486090</v>
      </c>
      <c r="F83" s="1">
        <v>75</v>
      </c>
      <c r="G83" s="1"/>
      <c r="H83" s="1"/>
      <c r="I83" s="1"/>
      <c r="J83" t="s">
        <v>123</v>
      </c>
      <c r="K83" s="1"/>
      <c r="L83" s="1"/>
      <c r="M83" s="1">
        <v>1</v>
      </c>
    </row>
    <row r="84" spans="1:13" x14ac:dyDescent="0.35">
      <c r="A84" s="1">
        <v>22021</v>
      </c>
      <c r="B84" t="s">
        <v>84</v>
      </c>
      <c r="C84" t="s">
        <v>123</v>
      </c>
      <c r="D84" s="1">
        <v>153.43166641891003</v>
      </c>
      <c r="E84" s="1">
        <v>4380</v>
      </c>
      <c r="F84" s="1">
        <v>19</v>
      </c>
      <c r="G84" s="1"/>
      <c r="H84" s="1"/>
      <c r="I84" s="1"/>
      <c r="J84" t="s">
        <v>123</v>
      </c>
      <c r="K84" s="1"/>
      <c r="L84" s="1"/>
      <c r="M84" s="1">
        <v>1</v>
      </c>
    </row>
    <row r="85" spans="1:13" x14ac:dyDescent="0.35">
      <c r="A85" s="1">
        <v>11716</v>
      </c>
      <c r="B85" t="s">
        <v>85</v>
      </c>
      <c r="C85" t="s">
        <v>123</v>
      </c>
      <c r="D85" s="1">
        <v>9938.2433267114684</v>
      </c>
      <c r="E85" s="1">
        <v>42111450</v>
      </c>
      <c r="F85" s="1">
        <v>12</v>
      </c>
      <c r="G85" s="1"/>
      <c r="H85" s="1"/>
      <c r="I85" s="1"/>
      <c r="J85" t="s">
        <v>123</v>
      </c>
      <c r="K85" s="1"/>
      <c r="L85" s="1"/>
      <c r="M85" s="1">
        <v>1</v>
      </c>
    </row>
    <row r="86" spans="1:13" x14ac:dyDescent="0.35">
      <c r="A86" s="1">
        <v>21311</v>
      </c>
      <c r="B86" t="s">
        <v>86</v>
      </c>
      <c r="C86" t="s">
        <v>123</v>
      </c>
      <c r="D86" s="1">
        <v>52367.512500368874</v>
      </c>
      <c r="E86" s="1">
        <v>121693520</v>
      </c>
      <c r="F86" s="1">
        <v>45</v>
      </c>
      <c r="G86" s="1"/>
      <c r="H86" s="1"/>
      <c r="I86" s="1"/>
      <c r="J86" t="s">
        <v>123</v>
      </c>
      <c r="K86" s="1"/>
      <c r="L86" s="1"/>
      <c r="M86" s="1">
        <v>1</v>
      </c>
    </row>
    <row r="87" spans="1:13" x14ac:dyDescent="0.35">
      <c r="A87" s="1">
        <v>21231</v>
      </c>
      <c r="B87" t="s">
        <v>87</v>
      </c>
      <c r="C87" t="s">
        <v>123</v>
      </c>
      <c r="D87" s="1">
        <v>1277.0249979197979</v>
      </c>
      <c r="E87" s="1">
        <v>675670</v>
      </c>
      <c r="F87" s="1">
        <v>31</v>
      </c>
      <c r="G87" s="1"/>
      <c r="H87" s="1"/>
      <c r="I87" s="1"/>
      <c r="J87" t="s">
        <v>123</v>
      </c>
      <c r="K87" s="1"/>
      <c r="L87" s="1"/>
      <c r="M87" s="1">
        <v>1</v>
      </c>
    </row>
    <row r="88" spans="1:13" x14ac:dyDescent="0.35">
      <c r="A88" s="1">
        <v>11461</v>
      </c>
      <c r="B88" t="s">
        <v>88</v>
      </c>
      <c r="C88" t="s">
        <v>123</v>
      </c>
      <c r="D88" s="1">
        <v>26436.219186112285</v>
      </c>
      <c r="E88" s="1">
        <v>35029620</v>
      </c>
      <c r="F88" s="1">
        <v>26</v>
      </c>
      <c r="G88" s="1"/>
      <c r="H88" s="1"/>
      <c r="I88" s="1"/>
      <c r="J88" t="s">
        <v>123</v>
      </c>
      <c r="K88" s="1"/>
      <c r="L88" s="1"/>
      <c r="M88" s="1">
        <v>1</v>
      </c>
    </row>
    <row r="89" spans="1:13" x14ac:dyDescent="0.35">
      <c r="A89" s="1">
        <v>11212</v>
      </c>
      <c r="B89" t="s">
        <v>89</v>
      </c>
      <c r="C89" t="s">
        <v>123</v>
      </c>
      <c r="D89" s="1">
        <v>1538.7941629216075</v>
      </c>
      <c r="E89" s="1">
        <v>628580</v>
      </c>
      <c r="F89" s="1">
        <v>83</v>
      </c>
      <c r="G89" s="1"/>
      <c r="H89" s="1"/>
      <c r="I89" s="1"/>
      <c r="J89" t="s">
        <v>123</v>
      </c>
      <c r="K89" s="1"/>
      <c r="L89" s="1"/>
      <c r="M89" s="1">
        <v>1</v>
      </c>
    </row>
    <row r="90" spans="1:13" x14ac:dyDescent="0.35">
      <c r="A90" s="1">
        <v>11841</v>
      </c>
      <c r="B90" t="s">
        <v>90</v>
      </c>
      <c r="C90" t="s">
        <v>123</v>
      </c>
      <c r="D90" s="1">
        <v>53138.598332062364</v>
      </c>
      <c r="E90" s="1">
        <v>23692140</v>
      </c>
      <c r="F90" s="1">
        <v>24</v>
      </c>
      <c r="G90" s="1"/>
      <c r="H90" s="1"/>
      <c r="I90" s="1"/>
      <c r="J90" t="s">
        <v>123</v>
      </c>
      <c r="K90" s="1"/>
      <c r="L90" s="1"/>
      <c r="M90" s="1">
        <v>1</v>
      </c>
    </row>
  </sheetData>
  <pageMargins left="0.7" right="0.7" top="0.75" bottom="0.75" header="0.3" footer="0.3"/>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vt:lpstr>
      <vt:lpstr>Updated with Romania example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Shinya Takamatsu</cp:lastModifiedBy>
  <dcterms:modified xsi:type="dcterms:W3CDTF">2025-06-10T23:01:08Z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2025-06-10T23:01:08Z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c451b7c8-4c01-4bb1-803d-0fa8e4b58d47</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